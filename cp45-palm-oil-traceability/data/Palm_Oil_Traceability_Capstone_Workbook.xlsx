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Summary" sheetId="2" state="visible" r:id="rId4"/>
    <sheet name="Assumptions" sheetId="3" state="visible" r:id="rId5"/>
    <sheet name="ROI_ULVR" sheetId="4" state="visible" r:id="rId6"/>
    <sheet name="ROI_NESN" sheetId="5" state="visible" r:id="rId7"/>
    <sheet name="ROI_WIL" sheetId="6" state="visible" r:id="rId8"/>
    <sheet name="MC_Results" sheetId="7" state="visible" r:id="rId9"/>
    <sheet name="Sensitivity" sheetId="8" state="visible" r:id="rId10"/>
    <sheet name="Risk_Index" sheetId="9" state="visible" r:id="rId11"/>
    <sheet name="Supply_Chain" sheetId="10" state="visible" r:id="rId12"/>
    <sheet name="News_Events" sheetId="11" state="visible" r:id="rId13"/>
    <sheet name="ESG" sheetId="12" state="visible" r:id="rId14"/>
    <sheet name="Fundamentals" sheetId="13" state="visible" r:id="rId15"/>
    <sheet name="Market_Data" sheetId="14" state="visible" r:id="rId16"/>
    <sheet name="Price_Analytics" sheetId="15" state="visible" r:id="rId17"/>
    <sheet name="Next_Step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<sst xmlns="http://schemas.openxmlformats.org/spreadsheetml/2006/main" count="1454" uniqueCount="717">
  <si>
    <t xml:space="preserve">Start here — what this workbook is, what changed, and what still needs your data</t>
  </si>
  <si>
    <t xml:space="preserve">CP-45 (row 46 of 'MBA_GEN_60_Bloomberg_Capstone_Projects'). Built from your 15-Oct-2026 Bloomberg screenshots, your draft plan, and the project brief.</t>
  </si>
  <si>
    <t xml:space="preserve">Colour legend</t>
  </si>
  <si>
    <t xml:space="preserve">Blue text</t>
  </si>
  <si>
    <t xml:space="preserve">Value typed from a Bloomberg screenshot, or an assumption you can change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</si>
  <si>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</si>
  <si>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</si>
  <si>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</si>
  <si>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</si>
  <si>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Yellow fill</t>
  </si>
  <si>
    <t xml:space="preserve">Key assumption or headline output</t>
  </si>
  <si>
    <t xml:space="preserve">Sheet map</t>
  </si>
  <si>
    <t xml:space="preserve">Summary</t>
  </si>
  <si>
    <t xml:space="preserve">Headline results and findings (live)</t>
  </si>
  <si>
    <t xml:space="preserve">Assumptions</t>
  </si>
  <si>
    <t xml:space="preserve">All judgement inputs + scenario switch (Base / Adverse / Severe)</t>
  </si>
  <si>
    <t xml:space="preserve">ROI_ULVR / ROI_NESN / ROI_WIL</t>
  </si>
  <si>
    <t xml:space="preserve">Year-by-year cost-benefit: status quo vs central database vs permissioned blockchain</t>
  </si>
  <si>
    <t xml:space="preserve">MC_Results</t>
  </si>
  <si>
    <t xml:space="preserve">Monte Carlo (20,000 draws × 4 regimes) — static from Python</t>
  </si>
  <si>
    <t xml:space="preserve">Sensitivity</t>
  </si>
  <si>
    <t xml:space="preserve">Tornado + coverage × substitution heat map — static from Python</t>
  </si>
  <si>
    <t xml:space="preserve">Risk_Index</t>
  </si>
  <si>
    <t xml:space="preserve">Composite risk index built on real indicators, three weight sets</t>
  </si>
  <si>
    <t xml:space="preserve">Supply_Chain</t>
  </si>
  <si>
    <t xml:space="preserve">SPLC panels, Wilmar supplier table, brand-owner supplier tables, HHI, coverage</t>
  </si>
  <si>
    <t xml:space="preserve">News_Events</t>
  </si>
  <si>
    <t xml:space="preserve">Hand-coded controversy log (12M window)</t>
  </si>
  <si>
    <t xml:space="preserve">ESG</t>
  </si>
  <si>
    <t xml:space="preserve">BESG scores and GHG scopes</t>
  </si>
  <si>
    <t xml:space="preserve">Fundamentals</t>
  </si>
  <si>
    <t xml:space="preserve">Income statement, balance sheet and cash-flow extracts + ratios</t>
  </si>
  <si>
    <t xml:space="preserve">Market_Data</t>
  </si>
  <si>
    <t xml:space="preserve">Snapshot and CPO futures stats</t>
  </si>
  <si>
    <t xml:space="preserve">Price_Analytics</t>
  </si>
  <si>
    <t xml:space="preserve">Aligned daily prices, returns, volatility, correlation, beta</t>
  </si>
  <si>
    <t xml:space="preserve">Next_Steps</t>
  </si>
  <si>
    <t xml:space="preserve">Data still to pull and how</t>
  </si>
  <si>
    <t xml:space="preserve">Review of the draft plan — what I changed and why</t>
  </si>
  <si>
    <t xml:space="preserve">Issue in the draft</t>
  </si>
  <si>
    <t xml:space="preserve">Why it matters</t>
  </si>
  <si>
    <t xml:space="preserve">Fix applied here</t>
  </si>
  <si>
    <t xml:space="preserve">Still for you to do</t>
  </si>
  <si>
    <t xml:space="preserve">The Python code is cut off mid-formula ('+ 0.20 *') and the simulation / ROI code it promises is not in the file.</t>
  </si>
  <si>
    <t xml:space="preserve">Nothing runs; RQ3/RQ4 have no engine.</t>
  </si>
  <si>
    <t xml:space="preserve">Rebuilt end-to-end: palm_oil_traceability_model.py (market stats, NPV model, Monte Carlo, tornado, grid) and this workbook; Excel and Python NPVs tie exactly.</t>
  </si>
  <si>
    <t xml:space="preserve">Run the script after changing any assumption; paste refreshed tables into MC_Results/Sensitivity.</t>
  </si>
  <si>
    <t xml:space="preserve">50 synthetic suppliers with random ESG, news hits and RSPO flags.</t>
  </si>
  <si>
    <t xml:space="preserve">Random inputs cannot answer RQ1–RQ3; an examiner will ask for the Bloomberg evidence.</t>
  </si>
  <si>
    <t xml:space="preserve">Replaced with the real Bloomberg data you captured (fundamentals, ESG, SPLC suppliers, news, prices).</t>
  </si>
  <si>
    <t xml:space="preserve">Pull the full SPLC lists and 5Y history (Next_Steps).</t>
  </si>
  <si>
    <t xml:space="preserve">The risk index weights (0.35 / 0.25 / 0.20 …) are chosen by hand and then a model is 'validated' against it.</t>
  </si>
  <si>
    <t xml:space="preserve">Circular: the model can only rediscover the weights you typed.</t>
  </si>
  <si>
    <t xml:space="preserve">Weights are explicit, editable, tested under three weight sets; ranking-stability check added.</t>
  </si>
  <si>
    <t xml:space="preserve">Calibrate against an outcome (forward drawdown, controversy count after events) once you have more firms and 5Y data.</t>
  </si>
  <si>
    <t xml:space="preserve">The chain 'mill → Wilmar → Unilever/Nestlé' is presented as given.</t>
  </si>
  <si>
    <t xml:space="preserve">SPLC does not show it; your own news screen shows Nestlé's palm partners as Musim Mas and AAK.</t>
  </si>
  <si>
    <t xml:space="preserve">Flagged with evidence on Supply_Chain; opacity used as a finding.</t>
  </si>
  <si>
    <t xml:space="preserve">Search SPLC for Wilmar / IOI / Musim Mas / AAK / Cargill; add each brand owner's published mill list.</t>
  </si>
  <si>
    <t xml:space="preserve">Only 'with vs without blockchain' is compared.</t>
  </si>
  <si>
    <t xml:space="preserve">Most of the benefit comes from traceability itself; the blockchain's value is the increment over a central database.</t>
  </si>
  <si>
    <t xml:space="preserve">Three options modelled; incremental NPV and P(blockchain beats database) reported.</t>
  </si>
  <si>
    <t xml:space="preserve">Defend the effectiveness gap (Assumptions!C43 vs D43) with evidence — it decides the answer.</t>
  </si>
  <si>
    <t xml:space="preserve">Price series called 'KOA Comdty'.</t>
  </si>
  <si>
    <t xml:space="preserve">Your screens use KOZ6 Comdty (single Dec-26 contract, MYR).</t>
  </si>
  <si>
    <t xml:space="preserve">Documented on Market_Data; all stats use KOZ6.</t>
  </si>
  <si>
    <t xml:space="preserve">Use a continuous series (KO1 Comdty — confirm) and state the roll rule.</t>
  </si>
  <si>
    <t xml:space="preserve">No regulatory timeline in the model.</t>
  </si>
  <si>
    <t xml:space="preserve">EU Deforestation Regulation obligations for large/medium operators apply from 30-Dec-2026 (per the European Commission's trade site, as fetched 22-Oct-2026).</t>
  </si>
  <si>
    <t xml:space="preserve">Regulatory loss channel with fine rate, EU share, scenarios (Adverse/Severe = stricter enforcement).</t>
  </si>
  <si>
    <t xml:space="preserve">Confirm palm oil's scope, the penalty ceiling and any further delay in the final regulation text before quoting.</t>
  </si>
  <si>
    <t xml:space="preserve">Zero-knowledge proofs + Hyperledger Fabric/Corda in the architecture box.</t>
  </si>
  <si>
    <t xml:space="preserve">ZKPs add cost and complexity; the brief needs the economics, not a build.</t>
  </si>
  <si>
    <t xml:space="preserve">Not modelled; architecture cost is one capex/opex line.</t>
  </si>
  <si>
    <t xml:space="preserve">Keep ZKPs as an optional extension (selective disclosure of supplier prices); compare Fabric / Corda / permissioned EVM qualitatively.</t>
  </si>
  <si>
    <t xml:space="preserve">ESG score used as a predictor.</t>
  </si>
  <si>
    <t xml:space="preserve">Wilmar's BESG score rose while its emissions rose — scores follow disclosure.</t>
  </si>
  <si>
    <t xml:space="preserve">Scored alongside conduct-risk, distress, news and balance-sheet indicators.</t>
  </si>
  <si>
    <t xml:space="preserve">Add disclosure-quality and certification-coverage variables.</t>
  </si>
  <si>
    <t xml:space="preserve">Data comparability.</t>
  </si>
  <si>
    <t xml:space="preserve">Unilever FY24–25 restated for the ice-cream demerger; Unilever Scope 3 has series breaks; different news filters per firm; EUR/CHF/USD.</t>
  </si>
  <si>
    <t xml:space="preserve">Caveats on each sheet; FX is an explicit assumption; ratios not levels.</t>
  </si>
  <si>
    <t xml:space="preserve">Re-run all three firms with identical filters; replace illustrative FX with Bloomberg FX.</t>
  </si>
  <si>
    <t xml:space="preserve">CP-45 Blockchain Sustainable Palm Oil Traceability — Unilever · Nestlé · Wilmar</t>
  </si>
  <si>
    <t xml:space="preserve">Headline results (live links; scenario = Assumptions!B13). Model inputs marked ASSUMPTION are placeholders: read the numbers as decision logic, not forecasts.</t>
  </si>
  <si>
    <t xml:space="preserve">Active scenario</t>
  </si>
  <si>
    <t xml:space="preserve">Headline metric</t>
  </si>
  <si>
    <t xml:space="preserve">Unilever</t>
  </si>
  <si>
    <t xml:space="preserve">Nestlé</t>
  </si>
  <si>
    <t xml:space="preserve">Wilmar</t>
  </si>
  <si>
    <t xml:space="preserve">Where it comes from</t>
  </si>
  <si>
    <t xml:space="preserve">Cost-benefit (USD m, PV over 7 years vs status quo)</t>
  </si>
  <si>
    <t xml:space="preserve">NPV benefit — central database</t>
  </si>
  <si>
    <t xml:space="preserve">ROI_ sheets</t>
  </si>
  <si>
    <t xml:space="preserve">NPV benefit — permissioned blockchain</t>
  </si>
  <si>
    <t xml:space="preserve">Blockchain minus database (NPV)</t>
  </si>
  <si>
    <t xml:space="preserve">Negative = a plain database is the better buy at these inputs</t>
  </si>
  <si>
    <t xml:space="preserve">Benefit / programme cost — database</t>
  </si>
  <si>
    <t xml:space="preserve">Benefit / programme cost — blockchain</t>
  </si>
  <si>
    <t xml:space="preserve">Discounted payback (yrs) — database</t>
  </si>
  <si>
    <t xml:space="preserve">Discounted payback (yrs) — blockchain</t>
  </si>
  <si>
    <t xml:space="preserve">Break-even regulatory-risk multiplier — blockchain</t>
  </si>
  <si>
    <t xml:space="preserve">Factor on p_reg at which NPV = 0 (0 = pays even with no regulatory risk)</t>
  </si>
  <si>
    <t xml:space="preserve">Monte Carlo, mixed enforcement regimes (static, from Python)</t>
  </si>
  <si>
    <t xml:space="preserve">P(NPV &gt; 0) — database</t>
  </si>
  <si>
    <t xml:space="preserve">P(NPV &gt; 0) — blockchain</t>
  </si>
  <si>
    <t xml:space="preserve">P(blockchain beats database)</t>
  </si>
  <si>
    <t xml:space="preserve">Risk &amp; visibility evidence (live)</t>
  </si>
  <si>
    <t xml:space="preserve">Composite traceability risk index (0–100, base weights)</t>
  </si>
  <si>
    <t xml:space="preserve">Risk_Index (relative ranking of 3 firms only)</t>
  </si>
  <si>
    <t xml:space="preserve">Palm/plantation nodes visible in SPLC top suppliers</t>
  </si>
  <si>
    <t xml:space="preserve">Visible = shown on the captured screens (Wilmar: of 24 visible suppliers)</t>
  </si>
  <si>
    <t xml:space="preserve">Visible supplier cost as % of COGS (lower bound)</t>
  </si>
  <si>
    <t xml:space="preserve">Adverse news severity, last 12M (hand-coded)</t>
  </si>
  <si>
    <t xml:space="preserve">Different screen filters per firm — see News_Events warning</t>
  </si>
  <si>
    <t xml:space="preserve">What the evidence says (default inputs, base scenario)</t>
  </si>
  <si>
    <t xml:space="preserve">1. Traceability pays in most simulated worlds (central database positive in 79–93% of mixed-regime draws); the technology choice is the close call. A central database + satellite/audit stack captures most of the benefit. At base inputs the blockchain only matches the database if its assurance value reaches ~0.88 (Nestlé), ~0.92 (Wilmar) or ~0.96 (Unilever) versus 0.80 for the database; under Adverse enforcement the parity points fall to ~0.82–0.87. In the mixed Monte Carlo the blockchain wins in roughly 35–42% of worlds. That is the honest answer to RQ4 — and a stronger capstone than 'blockchain always helps'.</t>
  </si>
  <si>
    <t xml:space="preserve">2. Bloomberg SPLC cannot see the palm chain. None of Unilever's or Nestlé's top-24 suppliers is a palm trader or plantation, Wilmar is not in either list, and the plantation nodes visible for Wilmar are ~0.4% of its cost base. The draft's 'mill → Wilmar → Unilever/Nestlé' chain is an assumption, not an SPLC finding (your Nestlé news screen shows Musim Mas and AAK as Nestlé's palm partners). This opacity IS the problem the blockchain would solve — use it as your motivating evidence, and add company mill lists as a second source.</t>
  </si>
  <si>
    <t xml:space="preserve">3. Wilmar ranks highest-risk on the composite index, driven by interest cover (~2.1x vs 8–9x), supplier conduct-risk flags (37% of listed suppliers) and the news record: the May-2026 Indonesian export under-invoicing probe, a corruption conviction of a unit executive, and the Russian asset-seizure report. Note these are governance/legal events, not deforestation events — the 'traceability' narrative must be separated from the 'governance' one.</t>
  </si>
  <si>
    <t xml:space="preserve">4. Wilmar's BESG score more than doubled (2.71 → 6.15) while reported Scope 1 emissions rose 2.6x: scores track disclosure, not footprint. Do not use a BESG score alone as a traceability-risk predictor (RQ1).</t>
  </si>
  <si>
    <t xml:space="preserve">5. KOZ6 palm oil sits ~9% below its 8-Sep-26 high (MYR 5,115 → 4,666) after a +18% rise over the range. With only ~8 weeks of aligned prices, correlations with the three equities are statistically zero (|ρ| &lt; 0.35 band) — pull ≥5 years of data before claiming any price–equity link (RQ2).</t>
  </si>
  <si>
    <t xml:space="preserve">Assumptions — every judgement input for the ROI / NPV model lives here</t>
  </si>
  <si>
    <t xml:space="preserve">Blue = input you can change (yellow = most influential). Green = pulled from Fundamentals. These are PLANNING-GRADE PLACEHOLDERS, not Bloomberg facts: calibrate each one and cite the source in the Basis column.</t>
  </si>
  <si>
    <t xml:space="preserve">A. Global inputs</t>
  </si>
  <si>
    <t xml:space="preserve">Discount rate</t>
  </si>
  <si>
    <t xml:space="preserve">Use each firm's WACC (Bloomberg WACC &lt;GO&gt;); 8% is a generic consumer-staples/agri placeholder.</t>
  </si>
  <si>
    <t xml:space="preserve">Nominal growth of revenue, COGS and opex</t>
  </si>
  <si>
    <t xml:space="preserve">Placeholder; replace with consensus growth (see Fundamentals 2026E/27E).</t>
  </si>
  <si>
    <t xml:space="preserve">Realised fine, % of EU turnover when non-compliant</t>
  </si>
  <si>
    <t xml:space="preserve">EUDR maximum is at least 4% of EU turnover; base case assumes half of that is realised. Verify against the final regulation text.</t>
  </si>
  <si>
    <t xml:space="preserve">Price premium on re-sourced compliant volume</t>
  </si>
  <si>
    <t xml:space="preserve">Placeholder; calibrate to RSPO / segregated-supply premiums.</t>
  </si>
  <si>
    <t xml:space="preserve">Share of non-traceable EU-bound volume excluded / re-sourced</t>
  </si>
  <si>
    <t xml:space="preserve">Placeholder; supplier-exclusion rate under a compliance-only sourcing policy.</t>
  </si>
  <si>
    <t xml:space="preserve">Baseline traceable share today (c0)</t>
  </si>
  <si>
    <t xml:space="preserve">Placeholder; use each firm's published certified / traceable-to-mill percentage.</t>
  </si>
  <si>
    <t xml:space="preserve">FX: EUR→USD</t>
  </si>
  <si>
    <t xml:space="preserve">ILLUSTRATIVE — replace with Bloomberg FX on the data date (EURUSD Curncy).</t>
  </si>
  <si>
    <t xml:space="preserve">FX: CHF→USD</t>
  </si>
  <si>
    <t xml:space="preserve">ILLUSTRATIVE — replace with Bloomberg FX on the data date (USDCHF Curncy, inverted).</t>
  </si>
  <si>
    <t xml:space="preserve">Active scenario (pick: Base / Adverse / Severe)</t>
  </si>
  <si>
    <t xml:space="preserve">Base</t>
  </si>
  <si>
    <t xml:space="preserve">Drives the three ROI sheets and the live numbers on Summary. Monte Carlo tables are static (run in Python).</t>
  </si>
  <si>
    <t xml:space="preserve">Scenario multipliers</t>
  </si>
  <si>
    <t xml:space="preserve">Regulatory prob. ×</t>
  </si>
  <si>
    <t xml:space="preserve">Controversy prob. ×</t>
  </si>
  <si>
    <t xml:space="preserve">Substitution premium ×</t>
  </si>
  <si>
    <t xml:space="preserve">CPO price level ×</t>
  </si>
  <si>
    <t xml:space="preserve">Severe = strict EUDR enforcement + palm price level +30% (supply squeeze).</t>
  </si>
  <si>
    <t xml:space="preserve">Adverse</t>
  </si>
  <si>
    <t xml:space="preserve">Severe</t>
  </si>
  <si>
    <t xml:space="preserve">Active multipliers</t>
  </si>
  <si>
    <t xml:space="preserve">B. Firm profiles (USD m unless stated)</t>
  </si>
  <si>
    <t xml:space="preserve">Parameter</t>
  </si>
  <si>
    <t xml:space="preserve">Basis</t>
  </si>
  <si>
    <t xml:space="preserve">Revenue FY2025 (reporting ccy m)</t>
  </si>
  <si>
    <t xml:space="preserve">Bloomberg FA (EUR / CHF / USD)</t>
  </si>
  <si>
    <t xml:space="preserve">COGS FY2025 (reporting ccy m)</t>
  </si>
  <si>
    <t xml:space="preserve">Bloomberg FA</t>
  </si>
  <si>
    <t xml:space="preserve">FX to USD</t>
  </si>
  <si>
    <t xml:space="preserve">Wilmar reports in USD</t>
  </si>
  <si>
    <t xml:space="preserve">Revenue FY2025 (USD m)</t>
  </si>
  <si>
    <t xml:space="preserve">COGS FY2025 (USD m)</t>
  </si>
  <si>
    <t xml:space="preserve">a  Palm-linked share of revenue</t>
  </si>
  <si>
    <t xml:space="preserve">ASSUMPTION — share of sales in products with palm-derived inputs (home/personal care, foods; for Wilmar: palm &amp; laurics, consumer products).</t>
  </si>
  <si>
    <t xml:space="preserve">ps  Palm-derived spend as % of COGS</t>
  </si>
  <si>
    <t xml:space="preserve">ASSUMPTION — calibrate from sustainability reports (tonnes palm × price) divided by COGS.</t>
  </si>
  <si>
    <t xml:space="preserve">eu  Revenue share in EU-regulated markets</t>
  </si>
  <si>
    <t xml:space="preserve">ASSUMPTION — Wilmar low (China 47% of revenue, see Supply_Chain); brand owners via EU retail.</t>
  </si>
  <si>
    <t xml:space="preserve">p_reg  Annual probability of a regulatory / market-access event</t>
  </si>
  <si>
    <t xml:space="preserve">ASSUMPTION — to calibrate from enforcement history; the Wilmar Indonesia probe (May-26) shows the order of magnitude is not zero.</t>
  </si>
  <si>
    <t xml:space="preserve">p_ctrv  Annual probability of a controversy / boycott event</t>
  </si>
  <si>
    <t xml:space="preserve">ASSUMPTION — calibrate from the News_Events frequency (extend to ≥5Y).</t>
  </si>
  <si>
    <t xml:space="preserve">rev_loss  Revenue lost on palm-linked sales in a controversy</t>
  </si>
  <si>
    <t xml:space="preserve">ASSUMPTION — event-study the 2026 Wilmar probe (needs daily prices, see Next_Steps).</t>
  </si>
  <si>
    <t xml:space="preserve">Central database: capex (USD m)</t>
  </si>
  <si>
    <t xml:space="preserve">ASSUMPTION — planning-grade; replace with vendor quotes / pilot budgets.</t>
  </si>
  <si>
    <t xml:space="preserve">Central database: annual opex (USD m)</t>
  </si>
  <si>
    <t xml:space="preserve">ASSUMPTION</t>
  </si>
  <si>
    <t xml:space="preserve">Permissioned blockchain: capex (USD m)</t>
  </si>
  <si>
    <t xml:space="preserve">ASSUMPTION — consortium build, node onboarding, integration.</t>
  </si>
  <si>
    <t xml:space="preserve">Permissioned blockchain: annual opex (USD m)</t>
  </si>
  <si>
    <t xml:space="preserve">C. Option design</t>
  </si>
  <si>
    <t xml:space="preserve">Status quo</t>
  </si>
  <si>
    <t xml:space="preserve">Central database</t>
  </si>
  <si>
    <t xml:space="preserve">Permissioned blockchain</t>
  </si>
  <si>
    <t xml:space="preserve">cmax  Steady-state traceable share</t>
  </si>
  <si>
    <t xml:space="preserve">ASSUMPTION — blockchain coverage slightly higher (shared ledger across traders/mills) but slower to coordinate.</t>
  </si>
  <si>
    <t xml:space="preserve">Ramp-up years to reach cmax</t>
  </si>
  <si>
    <t xml:space="preserve">eff  Assurance value of coverage (0–1)</t>
  </si>
  <si>
    <t xml:space="preserve">ASSUMPTION — KEY: how much extra credibility an immutable multi-party ledger earns with regulators/retailers vs a central database. This single gap decides RQ4.</t>
  </si>
  <si>
    <t xml:space="preserve">Mechanics (same in Python): coverage c(t)=c0+(cmax−c0)·min(1,t/ramp); mitigation m=c·eff. Expected annual loss = [p_reg·fine·eu·Revenue + p_ctrv·rev_loss·a·Revenue]·(1−m) + PalmSpend·eu·(1−c)·q·π. Benefit = PV(total cost, status quo) − PV(total cost, option). Year 0 = build (capex only); years 1–7 = operation.</t>
  </si>
  <si>
    <t xml:space="preserve">Unilever — traceability programme: status quo vs central database vs permissioned blockchain (USD m)</t>
  </si>
  <si>
    <t xml:space="preserve">Pure calculation sheet: all inputs are green links to 'Assumptions'. Change the scenario on Assumptions!B13. Year 0 = build year.</t>
  </si>
  <si>
    <t xml:space="preserve">Revenue, USD m (FY2025)</t>
  </si>
  <si>
    <t xml:space="preserve">Active scenario:</t>
  </si>
  <si>
    <t xml:space="preserve">COGS, USD m (FY2025)</t>
  </si>
  <si>
    <t xml:space="preserve">a  palm-linked revenue share</t>
  </si>
  <si>
    <t xml:space="preserve">ps  palm spend / COGS</t>
  </si>
  <si>
    <t xml:space="preserve">eu  EU-regulated revenue share</t>
  </si>
  <si>
    <t xml:space="preserve">p_reg (scenario-adjusted)</t>
  </si>
  <si>
    <t xml:space="preserve">p_ctrv (scenario-adjusted)</t>
  </si>
  <si>
    <t xml:space="preserve">rev_loss</t>
  </si>
  <si>
    <t xml:space="preserve">Realised fine rate</t>
  </si>
  <si>
    <t xml:space="preserve">Substitution premium π (scenario-adjusted)</t>
  </si>
  <si>
    <t xml:space="preserve">Share excluded / re-sourced q</t>
  </si>
  <si>
    <t xml:space="preserve">Growth</t>
  </si>
  <si>
    <t xml:space="preserve">CPO price level × (scenario)</t>
  </si>
  <si>
    <t xml:space="preserve">Baseline coverage c0</t>
  </si>
  <si>
    <t xml:space="preserve">Option design</t>
  </si>
  <si>
    <t xml:space="preserve">cmax</t>
  </si>
  <si>
    <t xml:space="preserve">Ramp (yrs)</t>
  </si>
  <si>
    <t xml:space="preserve">eff</t>
  </si>
  <si>
    <t xml:space="preserve">Capex</t>
  </si>
  <si>
    <t xml:space="preserve">Opex / yr</t>
  </si>
  <si>
    <t xml:space="preserve">Year</t>
  </si>
  <si>
    <t xml:space="preserve">Growth factor</t>
  </si>
  <si>
    <t xml:space="preserve">Revenue</t>
  </si>
  <si>
    <t xml:space="preserve">COGS</t>
  </si>
  <si>
    <t xml:space="preserve">Discount factor</t>
  </si>
  <si>
    <t xml:space="preserve">CPO price index</t>
  </si>
  <si>
    <t xml:space="preserve">Palm-derived spend</t>
  </si>
  <si>
    <t xml:space="preserve">Option: Status quo</t>
  </si>
  <si>
    <t xml:space="preserve">Traceable coverage</t>
  </si>
  <si>
    <t xml:space="preserve">Mitigation (coverage × eff)</t>
  </si>
  <si>
    <t xml:space="preserve">Regulatory loss (expected)</t>
  </si>
  <si>
    <t xml:space="preserve">Supplier substitution cost</t>
  </si>
  <si>
    <t xml:space="preserve">Reputational / controversy loss (expected)</t>
  </si>
  <si>
    <t xml:space="preserve">Programme opex</t>
  </si>
  <si>
    <t xml:space="preserve">Programme capex</t>
  </si>
  <si>
    <t xml:space="preserve">Total cost (losses + programme)</t>
  </si>
  <si>
    <t xml:space="preserve">PV of total cost</t>
  </si>
  <si>
    <t xml:space="preserve">Option: Central database</t>
  </si>
  <si>
    <t xml:space="preserve">Option: Permissioned blockchain</t>
  </si>
  <si>
    <t xml:space="preserve">Summary (PV at year 0, USD m)</t>
  </si>
  <si>
    <t xml:space="preserve">Option</t>
  </si>
  <si>
    <t xml:space="preserve">PV expected losses</t>
  </si>
  <si>
    <t xml:space="preserve">PV programme cost</t>
  </si>
  <si>
    <t xml:space="preserve">PV total cost</t>
  </si>
  <si>
    <t xml:space="preserve">Benefit vs status quo (NPV)</t>
  </si>
  <si>
    <t xml:space="preserve">PV avoided losses</t>
  </si>
  <si>
    <t xml:space="preserve">Benefit / programme cost</t>
  </si>
  <si>
    <t xml:space="preserve">Break-even p_reg multiplier</t>
  </si>
  <si>
    <t xml:space="preserve">Discounted payback (yr)</t>
  </si>
  <si>
    <t xml:space="preserve">Cumulative discounted net benefit vs status quo</t>
  </si>
  <si>
    <t xml:space="preserve">Central database — cumulative</t>
  </si>
  <si>
    <t xml:space="preserve">  payback flag (year if cumulative ≥ 0, else 99)</t>
  </si>
  <si>
    <t xml:space="preserve">Permissioned blockchain — cumulative</t>
  </si>
  <si>
    <t xml:space="preserve">Blockchain minus central database (NPV)</t>
  </si>
  <si>
    <t xml:space="preserve">Break-even p_reg multiplier: the factor on the regulatory-event probability at which the option's NPV is zero (0 = pays back even with no regulatory risk, because substitution and reputation benefits already cover costs).</t>
  </si>
  <si>
    <t xml:space="preserve">Nestlé — traceability programme: status quo vs central database vs permissioned blockchain (USD m)</t>
  </si>
  <si>
    <t xml:space="preserve">Wilmar — traceability programme: status quo vs central database vs permissioned blockchain (USD m)</t>
  </si>
  <si>
    <t xml:space="preserve">Monte Carlo results — 20,000 draws per cell, seed 42 (STATIC values from palm_oil_traceability_model.py)</t>
  </si>
  <si>
    <t xml:space="preserve">NPV benefit vs status quo, USD m. Same random world is applied to every option (common random numbers). Re-run the script after changing assumptions; these cells do not update by themselves.</t>
  </si>
  <si>
    <t xml:space="preserve">Firm</t>
  </si>
  <si>
    <t xml:space="preserve">Regime</t>
  </si>
  <si>
    <t xml:space="preserve">Mean</t>
  </si>
  <si>
    <t xml:space="preserve">5th pct</t>
  </si>
  <si>
    <t xml:space="preserve">Median</t>
  </si>
  <si>
    <t xml:space="preserve">95th pct</t>
  </si>
  <si>
    <t xml:space="preserve">P(NPV &gt; 0)</t>
  </si>
  <si>
    <t xml:space="preserve">Mean (blockchain − database)</t>
  </si>
  <si>
    <t xml:space="preserve">Mixed</t>
  </si>
  <si>
    <t xml:space="preserve">Regimes: Base / Adverse / Severe use the multipliers on Assumptions; 'Mixed' draws a regime per simulation (25% benign EU enforcement, 50% base, 25% severe). Random inputs: event probabilities (log-normal), realised fine 0.5–4%, exclusion share, premium, discount rate 6–11%, baseline coverage, option coverage/ramp/effectiveness (triangular), cost overruns (log-normal), and a CPO price path (GBM, zero drift, σ = 17% estimated from only ~8 weeks of KOZ6 prints — re-estimate on 5Y data).</t>
  </si>
  <si>
    <t xml:space="preserve">Distribution of NPV benefit — Unilever, mixed regimes (share of simulations per bin; tails clipped at 1st/99th pct)</t>
  </si>
  <si>
    <t xml:space="preserve">Bin mid-point (USD m)</t>
  </si>
  <si>
    <t xml:space="preserve">Sensitivity &amp; simulation grids (STATIC values from the Python model)</t>
  </si>
  <si>
    <t xml:space="preserve">One-at-a-time tornado, and the traceability-coverage × supplier-substitution grid required by the project brief.</t>
  </si>
  <si>
    <t xml:space="preserve">Unilever, permissioned blockchain — base-case NPV benefit (USD m)</t>
  </si>
  <si>
    <t xml:space="preserve">Driver (low case / high case)</t>
  </si>
  <si>
    <t xml:space="preserve">Δ NPV, low case</t>
  </si>
  <si>
    <t xml:space="preserve">Δ NPV, high case</t>
  </si>
  <si>
    <t xml:space="preserve">Swing</t>
  </si>
  <si>
    <t xml:space="preserve">Regulatory event probability (x0.5 / x2)</t>
  </si>
  <si>
    <t xml:space="preserve">Realised fine rate (1% / 4%)</t>
  </si>
  <si>
    <t xml:space="preserve">Programme cost (x1.6 / x0.7)</t>
  </si>
  <si>
    <t xml:space="preserve">Controversy probability (x0.5 / x2)</t>
  </si>
  <si>
    <t xml:space="preserve">Ramp-up years (7 / 3)</t>
  </si>
  <si>
    <t xml:space="preserve">Substitution premium (3% / 12%)</t>
  </si>
  <si>
    <t xml:space="preserve">Steady-state coverage (0.75 / 0.95)</t>
  </si>
  <si>
    <t xml:space="preserve">Baseline coverage today (45% / 15%)</t>
  </si>
  <si>
    <t xml:space="preserve">Blockchain effectiveness (0.75 / 0.97)</t>
  </si>
  <si>
    <t xml:space="preserve">Share excluded / re-sourced (15% / 50%)</t>
  </si>
  <si>
    <t xml:space="preserve">Discount rate (12% / 6%)</t>
  </si>
  <si>
    <t xml:space="preserve">Regulatory probability and the realised fine rate enter the model multiplicatively, so they have identical swings — treat them as one 'expected regulatory loss' driver. The result is most sensitive to how likely and how costly enforcement is, and to programme cost and ramp-up speed — not to the blockchain-specific effectiveness number.</t>
  </si>
  <si>
    <t xml:space="preserve">Unilever — PV of supplier-substitution cost (USD m) by steady traceable share (rows) and share of non-traceable volume excluded (columns); base substitution premium</t>
  </si>
  <si>
    <t xml:space="preserve">Traceable share ↓ / excluded →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</si>
  <si>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</si>
  <si>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</si>
  <si>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</si>
  <si>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</si>
  <si>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</si>
  <si>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</si>
  <si>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</si>
  <si>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</si>
  <si>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</si>
  <si>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</si>
  <si>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Unilever — PV of supplier-substitution cost (USD m) by steady traceable share (rows) and share of non-traceable volume excluded (columns); severe substitution premium (×2.5)</t>
  </si>
  <si>
    <t xml:space="preserve">Risk heat map: green = cheap to substitute (high coverage or few exclusions), red = costly. Moving traceable share from 30% to 80% removes ~70% of the substitution bill at any exclusion rate — that value comes from traceability itself, whichever technology delivers it.</t>
  </si>
  <si>
    <t xml:space="preserve">Composite palm-oil traceability risk index (0 = low risk, 100 = high risk) — real indicators</t>
  </si>
  <si>
    <t xml:space="preserve">Replaces the draft's synthetic 50-supplier index. Each indicator is scaled 0–100 between a 'no-risk' value (floor) and a 'max-risk' value (cap). Edit blue cells; scores update.</t>
  </si>
  <si>
    <t xml:space="preserve">Indicator</t>
  </si>
  <si>
    <t xml:space="preserve">Source</t>
  </si>
  <si>
    <t xml:space="preserve">No-risk value</t>
  </si>
  <si>
    <t xml:space="preserve">Max-risk value</t>
  </si>
  <si>
    <t xml:space="preserve">Unilever (raw)</t>
  </si>
  <si>
    <t xml:space="preserve">Nestlé (raw)</t>
  </si>
  <si>
    <t xml:space="preserve">Wilmar (raw)</t>
  </si>
  <si>
    <t xml:space="preserve">Unilever (0–100)</t>
  </si>
  <si>
    <t xml:space="preserve">Nestlé (0–100)</t>
  </si>
  <si>
    <t xml:space="preserve">Wilmar (0–100)</t>
  </si>
  <si>
    <t xml:space="preserve">Weight: Base</t>
  </si>
  <si>
    <t xml:space="preserve">Weight: Equal</t>
  </si>
  <si>
    <t xml:space="preserve">Weight: Env/Social-heavy</t>
  </si>
  <si>
    <t xml:space="preserve">BESG ESG score gap (10 − score, 2024)</t>
  </si>
  <si>
    <t xml:space="preserve">BESG Social pillar gap (10 − score, 2024)</t>
  </si>
  <si>
    <t xml:space="preserve">Scope 3 intensity (kt CO2e per USD bn revenue, 2024)</t>
  </si>
  <si>
    <t xml:space="preserve">ESG, Fundamentals, FX</t>
  </si>
  <si>
    <t xml:space="preserve">Suppliers with business-conduct risk, %</t>
  </si>
  <si>
    <t xml:space="preserve">Supply_Chain (SPLC)</t>
  </si>
  <si>
    <t xml:space="preserve">Suppliers with high GHG vs peers, %</t>
  </si>
  <si>
    <t xml:space="preserve">Suppliers that are ESG-score laggards, %</t>
  </si>
  <si>
    <t xml:space="preserve">Sanctioned + distressed suppliers, %</t>
  </si>
  <si>
    <t xml:space="preserve">Adverse news severity, 12M (see warning on News_Events)</t>
  </si>
  <si>
    <t xml:space="preserve">Equity volatility, 90-day (% ann.)</t>
  </si>
  <si>
    <t xml:space="preserve">Interest cover, 2025 (OI / interest) — lower = riskier</t>
  </si>
  <si>
    <t xml:space="preserve">Weight check (must be 100%)</t>
  </si>
  <si>
    <t xml:space="preserve">Composite score</t>
  </si>
  <si>
    <t xml:space="preserve">Base weights</t>
  </si>
  <si>
    <t xml:space="preserve">Equal weights</t>
  </si>
  <si>
    <t xml:space="preserve">Env/Social-heavy</t>
  </si>
  <si>
    <t xml:space="preserve">Rank (1 = highest risk) — Base weights</t>
  </si>
  <si>
    <t xml:space="preserve">Rank (1 = highest risk) — Equal weights</t>
  </si>
  <si>
    <t xml:space="preserve">Rank (1 = highest risk) — Env/Social-heavy</t>
  </si>
  <si>
    <t xml:space="preserve">Ranking stable across the three weight sets?</t>
  </si>
  <si>
    <t xml:space="preserve">How to read: with only three firms the index is a RELATIVE ranking and a worked example of the method — not a validated risk model. To make it publishable: (1) extend to 10–15 firms (add IOI, Musim Mas, AAK, Cargill, P&amp;G, Mondelez, Colgate); (2) score Wilmar's 30 suppliers at node level; (3) calibrate weights against an outcome (e.g. forward 3-month drawdown or controversy count after each event) instead of choosing them by judgement. Unilever's Social-pillar gap dominates its score; Wilmar's is driven by interest cover, supplier conduct risk and news severity.</t>
  </si>
  <si>
    <t xml:space="preserve">Supply chain — Bloomberg SPLC (as of 15-Oct-2026)</t>
  </si>
  <si>
    <t xml:space="preserve">Blue = typed from SPLC screens. Only the rows visible on screen were captured, so every 'coverage' figure is a LOWER bound on what SPLC holds.</t>
  </si>
  <si>
    <t xml:space="preserve">A. SPLC summary panels</t>
  </si>
  <si>
    <t xml:space="preserve">Metric</t>
  </si>
  <si>
    <t xml:space="preserve">Suppliers listed (count)</t>
  </si>
  <si>
    <t xml:space="preserve">Customers listed (count)</t>
  </si>
  <si>
    <t xml:space="preserve">Suppliers with sanctions</t>
  </si>
  <si>
    <t xml:space="preserve">Customers with sanctions</t>
  </si>
  <si>
    <t xml:space="preserve">Suppliers distressed</t>
  </si>
  <si>
    <t xml:space="preserve">Customers distressed</t>
  </si>
  <si>
    <t xml:space="preserve">Suppliers = ESG-score laggards (count)</t>
  </si>
  <si>
    <t xml:space="preserve">Suppliers = business-conduct risk (count)</t>
  </si>
  <si>
    <t xml:space="preserve">Suppliers = high GHG vs peers (count)</t>
  </si>
  <si>
    <t xml:space="preserve">Suppliers = high physical risk (count)</t>
  </si>
  <si>
    <t xml:space="preserve">Suppliers = high water stress (count)</t>
  </si>
  <si>
    <t xml:space="preserve">Sanctioned + distressed suppliers, % of suppliers</t>
  </si>
  <si>
    <t xml:space="preserve">Business-conduct-risk suppliers, %</t>
  </si>
  <si>
    <t xml:space="preserve">High-GHG suppliers, %</t>
  </si>
  <si>
    <t xml:space="preserve">ESG-laggard suppliers, %</t>
  </si>
  <si>
    <t xml:space="preserve">High-water-stress suppliers, %</t>
  </si>
  <si>
    <t xml:space="preserve">B. Geography (revenue / own facilities / supplier facilities, % of total)</t>
  </si>
  <si>
    <t xml:space="preserve">Revenue %</t>
  </si>
  <si>
    <t xml:space="preserve">Facilities %</t>
  </si>
  <si>
    <t xml:space="preserve">Supplier facilities %</t>
  </si>
  <si>
    <t xml:space="preserve">China</t>
  </si>
  <si>
    <t xml:space="preserve">Indonesia</t>
  </si>
  <si>
    <t xml:space="preserve">Malaysia</t>
  </si>
  <si>
    <t xml:space="preserve">Australia</t>
  </si>
  <si>
    <t xml:space="preserve">India</t>
  </si>
  <si>
    <t xml:space="preserve">USA</t>
  </si>
  <si>
    <t xml:space="preserve">Brazil</t>
  </si>
  <si>
    <t xml:space="preserve">France</t>
  </si>
  <si>
    <t xml:space="preserve">Chile</t>
  </si>
  <si>
    <t xml:space="preserve">United Kingdom</t>
  </si>
  <si>
    <t xml:space="preserve">Read-across: 47% of Wilmar's revenue is China; EU exposure is indirect (via customers). EUDR pressure reaches Wilmar through Unilever/Nestlé-type buyers, not through Wilmar's own EU sales — the ROI sheets use a low EU share for Wilmar for this reason.</t>
  </si>
  <si>
    <t xml:space="preserve">C. Commodity exposures shown by SPLC (3-month price change)</t>
  </si>
  <si>
    <t xml:space="preserve">Rank</t>
  </si>
  <si>
    <t xml:space="preserve">3M chg</t>
  </si>
  <si>
    <t xml:space="preserve">Sugar</t>
  </si>
  <si>
    <t xml:space="preserve">Barley</t>
  </si>
  <si>
    <t xml:space="preserve">Diesel</t>
  </si>
  <si>
    <t xml:space="preserve">Polyethylene</t>
  </si>
  <si>
    <t xml:space="preserve">Rice</t>
  </si>
  <si>
    <t xml:space="preserve">Maize</t>
  </si>
  <si>
    <t xml:space="preserve">Crude</t>
  </si>
  <si>
    <t xml:space="preserve">Biofuel</t>
  </si>
  <si>
    <t xml:space="preserve">Fish</t>
  </si>
  <si>
    <t xml:space="preserve">Eggs</t>
  </si>
  <si>
    <t xml:space="preserve">Palm oil is NOT among SPLC's top-5 commodity exposures for any of the three firms. For Unilever/Nestlé it is a small share of total COGS, so the investment case rests on regulatory, Scope 3 and reputational exposure — not on input-cost savings.</t>
  </si>
  <si>
    <t xml:space="preserve">D. Wilmar — suppliers visible on screen (24 of 30)</t>
  </si>
  <si>
    <t xml:space="preserve">Supplier</t>
  </si>
  <si>
    <t xml:space="preserve">Supplier's revenue % from Wilmar</t>
  </si>
  <si>
    <t xml:space="preserve">Wilmar cost % (COGS/SGA)</t>
  </si>
  <si>
    <t xml:space="preserve">Type</t>
  </si>
  <si>
    <t xml:space="preserve">3M price chg</t>
  </si>
  <si>
    <t xml:space="preserve">Palm/plantation node? (Y/N)</t>
  </si>
  <si>
    <t xml:space="preserve">Related party / JV? (Y/N, verify)</t>
  </si>
  <si>
    <t xml:space="preserve">Cost share ex-related</t>
  </si>
  <si>
    <t xml:space="preserve">Yihai Kerry Arawana Holdings</t>
  </si>
  <si>
    <t xml:space="preserve">N</t>
  </si>
  <si>
    <t xml:space="preserve">Y</t>
  </si>
  <si>
    <t xml:space="preserve">Wilmar Cahaya Indonesia Tbk PT</t>
  </si>
  <si>
    <t xml:space="preserve">Shree Renuka Sugars</t>
  </si>
  <si>
    <t xml:space="preserve">Dharma Satya Nusantara Tbk PT</t>
  </si>
  <si>
    <t xml:space="preserve">GPT Group/The</t>
  </si>
  <si>
    <t xml:space="preserve">SGA</t>
  </si>
  <si>
    <t xml:space="preserve">Ecolab Inc</t>
  </si>
  <si>
    <t xml:space="preserve">AEP Pinago Plantations Tbk PT</t>
  </si>
  <si>
    <t xml:space="preserve">Bakrie Sumatera Plantations Tbk PT</t>
  </si>
  <si>
    <t xml:space="preserve">Kencana Agri Ltd</t>
  </si>
  <si>
    <t xml:space="preserve">Gozco Plantations Tbk PT</t>
  </si>
  <si>
    <t xml:space="preserve">PPB Group Bhd</t>
  </si>
  <si>
    <t xml:space="preserve">SIS Ltd</t>
  </si>
  <si>
    <t xml:space="preserve">Eagle High Plantations Tbk PT</t>
  </si>
  <si>
    <t xml:space="preserve">Andira Agro Tbk PT</t>
  </si>
  <si>
    <t xml:space="preserve">Cisadane Sawit Raya Tbk PT</t>
  </si>
  <si>
    <t xml:space="preserve">AWL Agri Business Ltd</t>
  </si>
  <si>
    <t xml:space="preserve">Clariant AG</t>
  </si>
  <si>
    <t xml:space="preserve">Cosan SA</t>
  </si>
  <si>
    <t xml:space="preserve">Icents Group Holdings Bhd</t>
  </si>
  <si>
    <t xml:space="preserve">Mitra Pack Tbk PT</t>
  </si>
  <si>
    <t xml:space="preserve">Sawit Sumbermas Sarana Tbk PT</t>
  </si>
  <si>
    <t xml:space="preserve">Humpuss Intermoda Transportasi Tbk PT</t>
  </si>
  <si>
    <t xml:space="preserve">Astra Agro Lestari Tbk PT</t>
  </si>
  <si>
    <t xml:space="preserve">Wijaya Karya Beton Tbk PT</t>
  </si>
  <si>
    <t xml:space="preserve">Visible supplier cost, % of Wilmar COGS+SGA (lower bound)</t>
  </si>
  <si>
    <t xml:space="preserve">  of which palm / plantation nodes</t>
  </si>
  <si>
    <t xml:space="preserve">Palm/plantation nodes visible (count)</t>
  </si>
  <si>
    <t xml:space="preserve">Cost-weighted dependence of palm nodes on Wilmar (buyer leverage)</t>
  </si>
  <si>
    <t xml:space="preserve">HHI of visible cost shares, ex related parties (0–10,000)</t>
  </si>
  <si>
    <t xml:space="preserve">Top-3 share of visible cost, ex related parties</t>
  </si>
  <si>
    <t xml:space="preserve">Finding: the plantation/mill nodes Bloomberg can see make up a few hundredths of one percent of Wilmar's cost base, yet palm products dominate Wilmar's business. Most palm is bought from third-party mills and smallholders that SPLC does not cover — which is the traceability gap the capstone is about. Palm-node and related-party flags are my judgement from company names; verify before use. Yihai Kerry Arawana, Wilmar Cahaya and AWL Agri are group companies or JVs.</t>
  </si>
  <si>
    <t xml:space="preserve">E. Nestlé — top 24 suppliers by cost share (SPLC)</t>
  </si>
  <si>
    <t xml:space="preserve">Supplier's revenue % from Nestlé</t>
  </si>
  <si>
    <t xml:space="preserve">Nestlé cost %</t>
  </si>
  <si>
    <t xml:space="preserve">Category (my coding)</t>
  </si>
  <si>
    <t xml:space="preserve">Amcor PLC</t>
  </si>
  <si>
    <t xml:space="preserve">Packaging</t>
  </si>
  <si>
    <t xml:space="preserve">Silgan Holdings</t>
  </si>
  <si>
    <t xml:space="preserve">International Flavors &amp; Fragrances</t>
  </si>
  <si>
    <t xml:space="preserve">Flavours/ingredients</t>
  </si>
  <si>
    <t xml:space="preserve">Telefonaktiebolaget LM Ericsson</t>
  </si>
  <si>
    <t xml:space="preserve">CAPEX</t>
  </si>
  <si>
    <t xml:space="preserve">Technology</t>
  </si>
  <si>
    <t xml:space="preserve">Ball Corp</t>
  </si>
  <si>
    <t xml:space="preserve">Crown Holdings</t>
  </si>
  <si>
    <t xml:space="preserve">Alibaba Group Holding</t>
  </si>
  <si>
    <t xml:space="preserve">Givaudan SA</t>
  </si>
  <si>
    <t xml:space="preserve">Barry Callebaut AG</t>
  </si>
  <si>
    <t xml:space="preserve">Symrise AG</t>
  </si>
  <si>
    <t xml:space="preserve">Daetwyler Holding AG</t>
  </si>
  <si>
    <t xml:space="preserve">Industrial</t>
  </si>
  <si>
    <t xml:space="preserve">Keurig Dr Pepper</t>
  </si>
  <si>
    <t xml:space="preserve">Beverage</t>
  </si>
  <si>
    <t xml:space="preserve">Eastman Chemical</t>
  </si>
  <si>
    <t xml:space="preserve">Chemicals</t>
  </si>
  <si>
    <t xml:space="preserve">O-I Glass</t>
  </si>
  <si>
    <t xml:space="preserve">Huhtamaki Oyj</t>
  </si>
  <si>
    <t xml:space="preserve">DSM-Firmenich AG</t>
  </si>
  <si>
    <t xml:space="preserve">ID Logistics Group</t>
  </si>
  <si>
    <t xml:space="preserve">Logistics</t>
  </si>
  <si>
    <t xml:space="preserve">Oracle Corp</t>
  </si>
  <si>
    <t xml:space="preserve">Graphic Packaging Holding</t>
  </si>
  <si>
    <t xml:space="preserve">AptarGroup Inc</t>
  </si>
  <si>
    <t xml:space="preserve">XPO Inc</t>
  </si>
  <si>
    <t xml:space="preserve">Nestle India Ltd</t>
  </si>
  <si>
    <t xml:space="preserve">Related party</t>
  </si>
  <si>
    <t xml:space="preserve">Air Liquide SA</t>
  </si>
  <si>
    <t xml:space="preserve">Jabil Inc</t>
  </si>
  <si>
    <t xml:space="preserve">Visible supplier cost, % of COGS (lower bound)</t>
  </si>
  <si>
    <t xml:space="preserve">Palm / edible-oil / plantation nodes visible (count)</t>
  </si>
  <si>
    <t xml:space="preserve">Packaging share of visible cost</t>
  </si>
  <si>
    <t xml:space="preserve">HHI of visible cost shares (0–10,000)</t>
  </si>
  <si>
    <t xml:space="preserve">F. Unilever — top 24 suppliers by cost share (SPLC)</t>
  </si>
  <si>
    <t xml:space="preserve">Supplier's revenue % from Unilever</t>
  </si>
  <si>
    <t xml:space="preserve">Unilever cost %</t>
  </si>
  <si>
    <t xml:space="preserve">Dassault Systemes SE</t>
  </si>
  <si>
    <t xml:space="preserve">Jacobs Solutions</t>
  </si>
  <si>
    <t xml:space="preserve">Unilever Indonesia Tbk PT</t>
  </si>
  <si>
    <t xml:space="preserve">Galaxy Surfactants</t>
  </si>
  <si>
    <t xml:space="preserve">Mondelez International</t>
  </si>
  <si>
    <t xml:space="preserve">EPL Ltd</t>
  </si>
  <si>
    <t xml:space="preserve">Finding: none of the top-24 suppliers of Unilever or Nestlé is a palm oil trader, refiner or plantation, and Wilmar is not in either visible list (nor are Unilever/Nestlé among Wilmar's visible customers). So the draft's chain 'mill → Wilmar → Unilever/Nestlé' is NOT evidenced by SPLC. Your own news screen shows Nestlé renewing a palm partnership with Musim Mas and AAK (Jul-2025). Action: search the full SPLC supplier list for Wilmar / IOI / Musim Mas / AAK / Cargill, and add each brand owner's published mill and supplier lists as a second source.</t>
  </si>
  <si>
    <t xml:space="preserve">G. Customer concentration — top-10 retail customers, share of revenue</t>
  </si>
  <si>
    <t xml:space="preserve">Customer #1</t>
  </si>
  <si>
    <t xml:space="preserve">Customer #2</t>
  </si>
  <si>
    <t xml:space="preserve">Customer #3</t>
  </si>
  <si>
    <t xml:space="preserve">Customer #4</t>
  </si>
  <si>
    <t xml:space="preserve">Customer #5</t>
  </si>
  <si>
    <t xml:space="preserve">Customer #6</t>
  </si>
  <si>
    <t xml:space="preserve">Customer #7</t>
  </si>
  <si>
    <t xml:space="preserve">Customer #8</t>
  </si>
  <si>
    <t xml:space="preserve">Customer #9</t>
  </si>
  <si>
    <t xml:space="preserve">Customer #10</t>
  </si>
  <si>
    <t xml:space="preserve">Top-10 total</t>
  </si>
  <si>
    <t xml:space="preserve">News &amp; controversy log — hand-coded from Bloomberg CN screens</t>
  </si>
  <si>
    <t xml:space="preserve">One row per event cluster (many headlines on the same event count once). Antitrust events are logged but excluded from the adverse score (not supply-chain related). Category, sentiment and severity are MY judgement from headlines — re-code with your own rubric.</t>
  </si>
  <si>
    <t xml:space="preserve">As-of date</t>
  </si>
  <si>
    <t xml:space="preserve">12M window start</t>
  </si>
  <si>
    <t xml:space="preserve">Company</t>
  </si>
  <si>
    <t xml:space="preserve">Adverse events (12M, excl. antitrust)</t>
  </si>
  <si>
    <t xml:space="preserve">Severity-weighted (12M)</t>
  </si>
  <si>
    <t xml:space="preserve">Positive/mitigation events (12M)</t>
  </si>
  <si>
    <t xml:space="preserve">Headlines in log (12M)</t>
  </si>
  <si>
    <t xml:space="preserve">Screen filter used</t>
  </si>
  <si>
    <t xml:space="preserve">ULVR</t>
  </si>
  <si>
    <t xml:space="preserve">ESG (+ Palm Oil/deforestation, older)</t>
  </si>
  <si>
    <t xml:space="preserve">NESN</t>
  </si>
  <si>
    <t xml:space="preserve">Palm Oil ONLY</t>
  </si>
  <si>
    <t xml:space="preserve">WIL</t>
  </si>
  <si>
    <t xml:space="preserve">ESG + Palm Oil</t>
  </si>
  <si>
    <t xml:space="preserve">WARNING — not like-for-like: the three companies were screened with different search filters (Nestlé: 'Palm Oil' only, which returns mostly sell-side cost notes). Re-run all three with the SAME query, e.g. company AND (palm oil OR deforestation OR 'supply chain') with ESG/controversy tags, before relying on the news score. Weight kept low in the index for this reason.</t>
  </si>
  <si>
    <t xml:space="preserve">Date</t>
  </si>
  <si>
    <t xml:space="preserve">Co.</t>
  </si>
  <si>
    <t xml:space="preserve">Event cluster</t>
  </si>
  <si>
    <t xml:space="preserve">Category</t>
  </si>
  <si>
    <t xml:space="preserve">Sentiment (-1/0/+1)</t>
  </si>
  <si>
    <t xml:space="preserve">Severity 0–5</t>
  </si>
  <si>
    <t xml:space="preserve"># headlines</t>
  </si>
  <si>
    <t xml:space="preserve">In 12M window?</t>
  </si>
  <si>
    <t xml:space="preserve">Adverse severity counted</t>
  </si>
  <si>
    <t xml:space="preserve">Screen filter</t>
  </si>
  <si>
    <t xml:space="preserve">Wilmar tops global children's-rights benchmark for 5th consecutive year</t>
  </si>
  <si>
    <t xml:space="preserve">ESG – positive</t>
  </si>
  <si>
    <t xml:space="preserve">Wilmar + Palm Oil</t>
  </si>
  <si>
    <t xml:space="preserve">Pakistan regulator probe vs Unity on Wilmar's complaint (Wilmar is complainant)</t>
  </si>
  <si>
    <t xml:space="preserve">Regulatory – non-adverse</t>
  </si>
  <si>
    <t xml:space="preserve">ABF–Wilmar JV control of Hebei Mauri cleared in EU</t>
  </si>
  <si>
    <t xml:space="preserve">M&amp;A – positive</t>
  </si>
  <si>
    <t xml:space="preserve">Palm-oil prices capped for now; war risk, El Niño 2027 gains (BI)</t>
  </si>
  <si>
    <t xml:space="preserve">Commodity / price</t>
  </si>
  <si>
    <t xml:space="preserve">Shares fall most in two months on earnings miss; 1H net income $608.9M vs $594.9M</t>
  </si>
  <si>
    <t xml:space="preserve">Earnings</t>
  </si>
  <si>
    <t xml:space="preserve">Indonesia export under-invoicing / transfer-pricing probe of palm firms; Wilmar shares fall most in six years</t>
  </si>
  <si>
    <t xml:space="preserve">Regulatory / legal</t>
  </si>
  <si>
    <t xml:space="preserve">Wilmar + ESG</t>
  </si>
  <si>
    <t xml:space="preserve">Russian government to seize Wilmar stake in indirect unit amid corruption allegations</t>
  </si>
  <si>
    <t xml:space="preserve">Legal / geopolitical</t>
  </si>
  <si>
    <t xml:space="preserve">Glass Lewis controversy alert on Wilmar</t>
  </si>
  <si>
    <t xml:space="preserve">Governance</t>
  </si>
  <si>
    <t xml:space="preserve">Indonesian court jails Wilmar unit executive (6 yrs) for bribery; shares fall</t>
  </si>
  <si>
    <t xml:space="preserve">Legal / corruption</t>
  </si>
  <si>
    <t xml:space="preserve">Indonesia's 'Switzerland-sized' land seizures tighten grip on plantations</t>
  </si>
  <si>
    <t xml:space="preserve">Land / deforestation</t>
  </si>
  <si>
    <t xml:space="preserve">Musim Mas, Nestlé and AAK renew palm partnership on environmental/social issues</t>
  </si>
  <si>
    <t xml:space="preserve">Mitigation – positive</t>
  </si>
  <si>
    <t xml:space="preserve">Nestlé + Palm Oil</t>
  </si>
  <si>
    <t xml:space="preserve">Nestlé India higher as palm-oil prices decline, easing supply chain</t>
  </si>
  <si>
    <t xml:space="preserve">Sell-side cost trackers flag building 2027 COGS-inflation risk</t>
  </si>
  <si>
    <t xml:space="preserve">UK CMA probe into McCormick's acquisition of Unilever Foods</t>
  </si>
  <si>
    <t xml:space="preserve">Antitrust (not supply chain)</t>
  </si>
  <si>
    <t xml:space="preserve">Unilever + ESG</t>
  </si>
  <si>
    <t xml:space="preserve">Unilever plant halts some production over quality-control failures</t>
  </si>
  <si>
    <t xml:space="preserve">Operational / quality</t>
  </si>
  <si>
    <t xml:space="preserve">Ben &amp; Jerry's: 'toxic culture' allegations, board changes</t>
  </si>
  <si>
    <t xml:space="preserve">Governance / social</t>
  </si>
  <si>
    <t xml:space="preserve">Brand owners miss recycled-plastic packaging targets (BNEF)</t>
  </si>
  <si>
    <t xml:space="preserve">ESG – packaging</t>
  </si>
  <si>
    <t xml:space="preserve">Terry Smith accuses Unilever of misleading him over $66bn food deal</t>
  </si>
  <si>
    <t xml:space="preserve">Governance / investor</t>
  </si>
  <si>
    <t xml:space="preserve">Sunlight dishwashing liquid ordered to change 'misleading' claim</t>
  </si>
  <si>
    <t xml:space="preserve">Greenwashing / claims</t>
  </si>
  <si>
    <t xml:space="preserve">Turkey antitrust probe into Unilever and Magnum Dondurma</t>
  </si>
  <si>
    <t xml:space="preserve">Billionaire clan fuelled by green debt faces deforestation claims (context)</t>
  </si>
  <si>
    <t xml:space="preserve">Unilever + Palm Oil + deforestation</t>
  </si>
  <si>
    <t xml:space="preserve">Indonesia tames rainforest destruction: crackdowns, boycotts and activism (WSJ, context)</t>
  </si>
  <si>
    <t xml:space="preserve">ESG — Bloomberg BESG scores (0–10, higher = better) and GHG emissions</t>
  </si>
  <si>
    <t xml:space="preserve">Blue = typed from ESG screens. GHG units as shown by Bloomberg (verify; likely '000 tCO2e). Series breaks flagged below.</t>
  </si>
  <si>
    <t xml:space="preserve">Wilmar (WIL SP)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</si>
  <si>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</si>
  <si>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</si>
  <si>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</si>
  <si>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</si>
  <si>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</si>
  <si>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</si>
  <si>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</si>
  <si>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</si>
  <si>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</si>
  <si>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</si>
  <si>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% change first→last</t>
  </si>
  <si>
    <t xml:space="preserve">BESG ESG score</t>
  </si>
  <si>
    <t xml:space="preserve">BESG Environmental pillar</t>
  </si>
  <si>
    <t xml:space="preserve">BESG Social pillar</t>
  </si>
  <si>
    <t xml:space="preserve">BESG Governance pillar</t>
  </si>
  <si>
    <t xml:space="preserve">GHG Scope 1</t>
  </si>
  <si>
    <t xml:space="preserve">GHG Scope 2 (location-based)</t>
  </si>
  <si>
    <t xml:space="preserve">GHG Scope 3</t>
  </si>
  <si>
    <t xml:space="preserve">Nestlé (NESN SW)</t>
  </si>
  <si>
    <t xml:space="preserve">Unilever (ULVR LN)</t>
  </si>
  <si>
    <t xml:space="preserve">Why this matters for the capstone: Wilmar's BESG score rose from 2.71 (2016) to 6.15 (2024) while its reported Scope 1 more than doubled (3,551 → 9,100). That pattern points to disclosure improving, not footprint falling — so a BESG score alone is a weak predictor of traceability risk (RQ1). Series breaks: Unilever Scope 3 jumps 61,020 (2019) → 114,634 (2020) → 52,820 (2022) → 102,880 (2023) — a methodology/perimeter change, not real movement. Do not trend across it. Wilmar Scope 3 is missing before 2022 and for 2025; Scope 2 market-based figures exist but are omitted here.</t>
  </si>
  <si>
    <t xml:space="preserve">Fundamentals — Bloomberg FA screens (transcribed)</t>
  </si>
  <si>
    <t xml:space="preserve">Blue = value typed from your Bloomberg screenshots (BBG Adjusted / Standardized, as of 15-Oct-2026). Black = formula. Reporting currencies differ (EUR / CHF / USD) — compare ratios, not levels.</t>
  </si>
  <si>
    <t xml:space="preserve">Unilever PLC (ULVR LN)  —  EUR m</t>
  </si>
  <si>
    <t xml:space="preserve">Unit</t>
  </si>
  <si>
    <t xml:space="preserve">LTM 06/30/26</t>
  </si>
  <si>
    <t xml:space="preserve">2026E</t>
  </si>
  <si>
    <t xml:space="preserve">2027E</t>
  </si>
  <si>
    <t xml:space="preserve">EUR m</t>
  </si>
  <si>
    <t xml:space="preserve">Cost of revenue</t>
  </si>
  <si>
    <t xml:space="preserve">Gross profit</t>
  </si>
  <si>
    <t xml:space="preserve">Operating income (BBG adj.)</t>
  </si>
  <si>
    <t xml:space="preserve">Interest expense</t>
  </si>
  <si>
    <t xml:space="preserve">Pretax income, adjusted</t>
  </si>
  <si>
    <t xml:space="preserve">Inventories (year-end)</t>
  </si>
  <si>
    <t xml:space="preserve">Cash &amp; ST investments</t>
  </si>
  <si>
    <t xml:space="preserve">Accounts receivable</t>
  </si>
  <si>
    <t xml:space="preserve">PP&amp;E, net</t>
  </si>
  <si>
    <t xml:space="preserve">Goodwill</t>
  </si>
  <si>
    <t xml:space="preserve">Net income (cash-flow statement)</t>
  </si>
  <si>
    <t xml:space="preserve">Depreciation &amp; amortisation</t>
  </si>
  <si>
    <t xml:space="preserve">Cash from operations</t>
  </si>
  <si>
    <t xml:space="preserve">Capex (acq. fixed &amp; intangibles)</t>
  </si>
  <si>
    <t xml:space="preserve">Dividends paid</t>
  </si>
  <si>
    <t xml:space="preserve">— derived —</t>
  </si>
  <si>
    <t xml:space="preserve">Revenue growth y/y</t>
  </si>
  <si>
    <t xml:space="preserve">Gross margin</t>
  </si>
  <si>
    <t xml:space="preserve">Operating margin</t>
  </si>
  <si>
    <t xml:space="preserve">Interest cover (OI / interest)</t>
  </si>
  <si>
    <t xml:space="preserve">Inventory days (inv / COGS x 365)</t>
  </si>
  <si>
    <t xml:space="preserve">Free cash flow (CFO + capex)</t>
  </si>
  <si>
    <t xml:space="preserve">FCF / dividends paid</t>
  </si>
  <si>
    <t xml:space="preserve">Capex / revenue</t>
  </si>
  <si>
    <t xml:space="preserve">Nestlé SA (NESN SW)  —  CHF m</t>
  </si>
  <si>
    <t xml:space="preserve">CHF m</t>
  </si>
  <si>
    <t xml:space="preserve">Wilmar International (WIL SP)  —  USD m</t>
  </si>
  <si>
    <t xml:space="preserve">USD m</t>
  </si>
  <si>
    <t xml:space="preserve">Caveats: (1) Unilever FY2024-25 revenue is restated for the ice-cream demerger, so 2023→2024 'growth' is a perimeter change, not trading. (2) Nestlé 2019-21 include large disposal gains in net income. (3) Wilmar 2019 CFO is a working-capital swing. Spot-check any figure you cite against the Terminal.</t>
  </si>
  <si>
    <t xml:space="preserve">Market snapshot — Bloomberg profile / HP / GP screens</t>
  </si>
  <si>
    <t xml:space="preserve">Blue = typed from screenshots. Wilmar price table range ends 10/09; header quote 3.47 is later. Check the 'as of' date before quoting.</t>
  </si>
  <si>
    <t xml:space="preserve">Price, last (local ccy; ULVR in GBp)</t>
  </si>
  <si>
    <t xml:space="preserve">1-day change %</t>
  </si>
  <si>
    <t xml:space="preserve">52-week high</t>
  </si>
  <si>
    <t xml:space="preserve">52-week low</t>
  </si>
  <si>
    <t xml:space="preserve">YTD change %</t>
  </si>
  <si>
    <t xml:space="preserve">Market cap (local ccy m; SGD / CHF / GBP)</t>
  </si>
  <si>
    <t xml:space="preserve">P/E (trailing)</t>
  </si>
  <si>
    <t xml:space="preserve">Est. P/E (FY Dec-26)</t>
  </si>
  <si>
    <t xml:space="preserve">T12M EPS (USD / CHF / EUR)</t>
  </si>
  <si>
    <t xml:space="preserve">Est. EPS</t>
  </si>
  <si>
    <t xml:space="preserve">Est. PEG</t>
  </si>
  <si>
    <t xml:space="preserve">Indicated gross dividend yield</t>
  </si>
  <si>
    <t xml:space="preserve">5Y net dividend growth</t>
  </si>
  <si>
    <t xml:space="preserve">12M total return</t>
  </si>
  <si>
    <t xml:space="preserve">Beta vs local index (STI / SMI / UKX)</t>
  </si>
  <si>
    <t xml:space="preserve">Employees (12/31/25)</t>
  </si>
  <si>
    <t xml:space="preserve">5Y price high (Bloomberg HP table)</t>
  </si>
  <si>
    <t xml:space="preserve">5Y price low</t>
  </si>
  <si>
    <t xml:space="preserve">5Y average price</t>
  </si>
  <si>
    <t xml:space="preserve">5Y net change %</t>
  </si>
  <si>
    <t xml:space="preserve">30-day volatility (Bloomberg chart, % ann.)</t>
  </si>
  <si>
    <t xml:space="preserve">90-day volatility (Bloomberg chart, % ann.)</t>
  </si>
  <si>
    <t xml:space="preserve">Palm oil futures — KOZ6 Comdty (Bursa Malaysia CPO, Dec-26), MYR / tonne</t>
  </si>
  <si>
    <t xml:space="preserve">Last (15-Oct-26)</t>
  </si>
  <si>
    <t xml:space="preserve">Previous close</t>
  </si>
  <si>
    <t xml:space="preserve">Day high / low</t>
  </si>
  <si>
    <t xml:space="preserve">4,737 / 4,621</t>
  </si>
  <si>
    <t xml:space="preserve">Open interest (contracts)</t>
  </si>
  <si>
    <t xml:space="preserve">Range high 12/15/25–10/15/26 (09/08/26)</t>
  </si>
  <si>
    <t xml:space="preserve">Range low (12/19/25)</t>
  </si>
  <si>
    <t xml:space="preserve">Range average</t>
  </si>
  <si>
    <t xml:space="preserve">Net change over range</t>
  </si>
  <si>
    <t xml:space="preserve">Net change %</t>
  </si>
  <si>
    <t xml:space="preserve">Drawdown from range high (formula)</t>
  </si>
  <si>
    <t xml:space="preserve">Bloomberg ticker note: your screens use KOZ6 Comdty (a single contract month). For a continuous history use the generic first-month series (KO1 Comdty — confirm with the Terminal search) and state the roll rule. The draft plan's 'KOA Comdty' does not match what you actually pulled.</t>
  </si>
  <si>
    <t xml:space="preserve">Price analytics — CPO futures vs the three equities</t>
  </si>
  <si>
    <t xml:space="preserve">Daily closes 17-Aug to 15-Oct-2026 typed from the HP tables. Returns are log returns, computed only where both days printed. Only ~8 weeks of data: treat statistics as a demo of method, not evidence.</t>
  </si>
  <si>
    <t xml:space="preserve">CPO KOZ6 (MYR/t)</t>
  </si>
  <si>
    <t xml:space="preserve">WIL SP (SGD)</t>
  </si>
  <si>
    <t xml:space="preserve">NESN SW (CHF)</t>
  </si>
  <si>
    <t xml:space="preserve">ULVR LN (GBp)</t>
  </si>
  <si>
    <t xml:space="preserve">ret CPO</t>
  </si>
  <si>
    <t xml:space="preserve">ret WIL</t>
  </si>
  <si>
    <t xml:space="preserve">ret NESN</t>
  </si>
  <si>
    <t xml:space="preserve">ret ULVR</t>
  </si>
  <si>
    <t xml:space="preserve">CPO (rebased)</t>
  </si>
  <si>
    <t xml:space="preserve">WIL (rebased)</t>
  </si>
  <si>
    <t xml:space="preserve">NESN (rebased)</t>
  </si>
  <si>
    <t xml:space="preserve">ULVR (rebased)</t>
  </si>
  <si>
    <t xml:space="preserve">Statistic</t>
  </si>
  <si>
    <t xml:space="preserve">CPO</t>
  </si>
  <si>
    <t xml:space="preserve">Return observations (n)</t>
  </si>
  <si>
    <t xml:space="preserve">Annualised volatility (x sqrt 252)</t>
  </si>
  <si>
    <t xml:space="preserve">Correlation vs CPO returns</t>
  </si>
  <si>
    <t xml:space="preserve">n/a</t>
  </si>
  <si>
    <t xml:space="preserve">Beta vs CPO returns</t>
  </si>
  <si>
    <t xml:space="preserve">Pairs used with CPO</t>
  </si>
  <si>
    <t xml:space="preserve">Approx. 95% band on correlation (±2/√n)</t>
  </si>
  <si>
    <t xml:space="preserve">Reading: |corr| below the ±2/√n band is statistically indistinguishable from zero.</t>
  </si>
  <si>
    <t xml:space="preserve">Next step: pull ≥5Y daily history with BDH() / BQL and rerun (see Next_Steps sheet).</t>
  </si>
  <si>
    <t xml:space="preserve">Next steps — data to pull and checks to run</t>
  </si>
  <si>
    <t xml:space="preserve">Confirm every field mnemonic with FLDS &lt;GO&gt; before relying on it; syntax below is the standard Excel add-in form.</t>
  </si>
  <si>
    <t xml:space="preserve">Task</t>
  </si>
  <si>
    <t xml:space="preserve">Bloomberg route</t>
  </si>
  <si>
    <t xml:space="preserve">Why / feeds which RQ</t>
  </si>
  <si>
    <t xml:space="preserve">Daily prices, 5–10 years: WIL SP, NESN SW, ULVR LN, palm oil continuous</t>
  </si>
  <si>
    <t xml:space="preserve">Excel add-in: =BDH("WIL SP Equity","PX_LAST","10/15/2021","10/15/2026","Dir=V","Days=A") — repeat per ticker; palm oil: generic first-month KO1 Comdty (confirm)</t>
  </si>
  <si>
    <t xml:space="preserve">RQ2: volatility, correlation, beta with n in the thousands; event studies</t>
  </si>
  <si>
    <t xml:space="preserve">Event study around 28-May-2026 (Indonesia export probe) and 03-Mar-2026 (bribery sentence)</t>
  </si>
  <si>
    <t xml:space="preserve">Daily returns of WIL SP vs STI Index; abnormal return = actual − beta × market; cumulative over [-1,+5] days</t>
  </si>
  <si>
    <t xml:space="preserve">Calibrates rev_loss / p_reg with an observed event instead of a guess</t>
  </si>
  <si>
    <t xml:space="preserve">Full SPLC supplier / customer lists; search for Wilmar, IOI, Musim Mas, AAK, Cargill, Sime Darby Plantation</t>
  </si>
  <si>
    <t xml:space="preserve">SPLC &lt;GO&gt; → Suppliers/Customers → export; use the Export button to Excel</t>
  </si>
  <si>
    <t xml:space="preserve">RQ1: tests the 'mill → trader → brand owner' chain</t>
  </si>
  <si>
    <t xml:space="preserve">Same-query news screen for all firms</t>
  </si>
  <si>
    <t xml:space="preserve">CN &lt;GO&gt;: company AND (palm oil OR deforestation OR supply chain) with ESG/controversy tags; export counts by month</t>
  </si>
  <si>
    <t xml:space="preserve">Makes the news indicator comparable</t>
  </si>
  <si>
    <t xml:space="preserve">Scope 3 and certification coverage (% RSPO / % traceable to mill)</t>
  </si>
  <si>
    <t xml:space="preserve">ESG &lt;GO&gt; tabs + company sustainability reports (Unilever, Nestlé, Wilmar)</t>
  </si>
  <si>
    <t xml:space="preserve">Replace assumed c0 and ps with disclosed values</t>
  </si>
  <si>
    <t xml:space="preserve">FX and WACC</t>
  </si>
  <si>
    <t xml:space="preserve">EURUSD Curncy, USDCHF Curncy; WACC &lt;GO&gt;</t>
  </si>
  <si>
    <t xml:space="preserve">Replace illustrative FX and the 8% discount rate</t>
  </si>
  <si>
    <t xml:space="preserve">Extend the peer set to 10–15 firms</t>
  </si>
  <si>
    <t xml:space="preserve">Add IOI, Musim Mas (if covered), AAK, Cargill (private; use disclosures), P&amp;G, Mondelez, Colgate, Sime Darby Plantation</t>
  </si>
  <si>
    <t xml:space="preserve">Gives the risk index and any regression real degrees of freedom</t>
  </si>
  <si>
    <t xml:space="preserve">Spot-check transcription</t>
  </si>
  <si>
    <t xml:space="preserve">Re-read ~10 numbers per sheet against the Terminal (revenue, BESG, Scope 3, SPLC counts, 10 prices)</t>
  </si>
  <si>
    <t xml:space="preserve">These values were typed from screenshots</t>
  </si>
  <si>
    <t xml:space="preserve">Source used in this review</t>
  </si>
  <si>
    <t xml:space="preserve">European Commission, Access2Markets: 'Delay until December 2026 and other developments in the implementation of the EUDR Regulation'</t>
  </si>
  <si>
    <t xml:space="preserve">https://trade.ec.europa.eu/access-to-markets/en/news/delay-until-december-2026-and-other-developments-implementation-eudr-regulation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</si>
</sst>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;\(#,##0.0\);\-"/>
    <numFmt numFmtId="166" formatCode="0.0\x"/>
    <numFmt numFmtId="167" formatCode="0"/>
    <numFmt numFmtId="168" formatCode="0.00\x"/>
    <numFmt numFmtId="169" formatCode="0%"/>
    <numFmt numFmtId="170" formatCode="0.0%;\(0.0%\);\-"/>
    <numFmt numFmtId="171" formatCode="0.0%"/>
    <numFmt numFmtId="172" formatCode="#,##0.00;\(#,##0.00\);\-"/>
    <numFmt numFmtId="173" formatCode="#,##0;\(#,##0\);\-"/>
    <numFmt numFmtId="174" formatCode="0.0"/>
    <numFmt numFmtId="175" formatCode="0.00"/>
    <numFmt numFmtId="176" formatCode="0.000"/>
    <numFmt numFmtId="177" formatCode="0.00%"/>
    <numFmt numFmtId="178" formatCode="dd\-mmm\-yy"/>
    <numFmt numFmtId="17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Unilever: NPV benefit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MC_Results!B34</c:f>
              <c:strCache>
                <c:ptCount val="1"/>
                <c:pt idx="0">
                  <c:v>Central database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MC_Results!$A$35:$A$54</c:f>
              <c:strCache>
                <c:ptCount val="20"/>
                <c:pt idx="0">
                  <c:v>(34.9)</c:v>
                </c:pt>
                <c:pt idx="1">
                  <c:v>(17.9)</c:v>
                </c:pt>
                <c:pt idx="2">
                  <c:v>(0.9)</c:v>
                </c:pt>
                <c:pt idx="3">
                  <c:v>16.1</c:v>
                </c:pt>
                <c:pt idx="4">
                  <c:v>33.1</c:v>
                </c:pt>
                <c:pt idx="5">
                  <c:v>50.1</c:v>
                </c:pt>
                <c:pt idx="6">
                  <c:v>67.2</c:v>
                </c:pt>
                <c:pt idx="7">
                  <c:v>84.2</c:v>
                </c:pt>
                <c:pt idx="8">
                  <c:v>101.2</c:v>
                </c:pt>
                <c:pt idx="9">
                  <c:v>118.2</c:v>
                </c:pt>
                <c:pt idx="10">
                  <c:v>135.2</c:v>
                </c:pt>
                <c:pt idx="11">
                  <c:v>152.2</c:v>
                </c:pt>
                <c:pt idx="12">
                  <c:v>169.2</c:v>
                </c:pt>
                <c:pt idx="13">
                  <c:v>186.2</c:v>
                </c:pt>
                <c:pt idx="14">
                  <c:v>203.2</c:v>
                </c:pt>
                <c:pt idx="15">
                  <c:v>220.3</c:v>
                </c:pt>
                <c:pt idx="16">
                  <c:v>237.3</c:v>
                </c:pt>
                <c:pt idx="17">
                  <c:v>254.3</c:v>
                </c:pt>
                <c:pt idx="18">
                  <c:v>271.3</c:v>
                </c:pt>
                <c:pt idx="19">
                  <c:v>288.3</c:v>
                </c:pt>
              </c:strCache>
            </c:strRef>
          </c:cat>
          <c:val>
            <c:numRef>
              <c:f>MC_Results!$B$35:$B$54</c:f>
              <c:numCache>
                <c:formatCode>0.0%</c:formatCode>
                <c:ptCount val="20"/>
                <c:pt idx="0">
                  <c:v>0.00665</c:v>
                </c:pt>
                <c:pt idx="1">
                  <c:v>0.0729</c:v>
                </c:pt>
                <c:pt idx="2">
                  <c:v>0.26285</c:v>
                </c:pt>
                <c:pt idx="3">
                  <c:v>0.23715</c:v>
                </c:pt>
                <c:pt idx="4">
                  <c:v>0.1197</c:v>
                </c:pt>
                <c:pt idx="5">
                  <c:v>0.0637</c:v>
                </c:pt>
                <c:pt idx="6">
                  <c:v>0.0433</c:v>
                </c:pt>
                <c:pt idx="7">
                  <c:v>0.0376</c:v>
                </c:pt>
                <c:pt idx="8">
                  <c:v>0.0295</c:v>
                </c:pt>
                <c:pt idx="9">
                  <c:v>0.0272</c:v>
                </c:pt>
                <c:pt idx="10">
                  <c:v>0.0226</c:v>
                </c:pt>
                <c:pt idx="11">
                  <c:v>0.01785</c:v>
                </c:pt>
                <c:pt idx="12">
                  <c:v>0.01295</c:v>
                </c:pt>
                <c:pt idx="13">
                  <c:v>0.01095</c:v>
                </c:pt>
                <c:pt idx="14">
                  <c:v>0.00805</c:v>
                </c:pt>
                <c:pt idx="15">
                  <c:v>0.00665</c:v>
                </c:pt>
                <c:pt idx="16">
                  <c:v>0.0037</c:v>
                </c:pt>
                <c:pt idx="17">
                  <c:v>0.00355</c:v>
                </c:pt>
                <c:pt idx="18">
                  <c:v>0.00255</c:v>
                </c:pt>
                <c:pt idx="19">
                  <c:v>0.0106</c:v>
                </c:pt>
              </c:numCache>
            </c:numRef>
          </c:val>
        </c:ser>
        <c:ser>
          <c:idx val="1"/>
          <c:order val="1"/>
          <c:tx>
            <c:strRef>
              <c:f>MC_Results!C34</c:f>
              <c:strCache>
                <c:ptCount val="1"/>
                <c:pt idx="0">
                  <c:v>Permissioned blockchain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MC_Results!$A$35:$A$54</c:f>
              <c:strCache>
                <c:ptCount val="20"/>
                <c:pt idx="0">
                  <c:v>(34.9)</c:v>
                </c:pt>
                <c:pt idx="1">
                  <c:v>(17.9)</c:v>
                </c:pt>
                <c:pt idx="2">
                  <c:v>(0.9)</c:v>
                </c:pt>
                <c:pt idx="3">
                  <c:v>16.1</c:v>
                </c:pt>
                <c:pt idx="4">
                  <c:v>33.1</c:v>
                </c:pt>
                <c:pt idx="5">
                  <c:v>50.1</c:v>
                </c:pt>
                <c:pt idx="6">
                  <c:v>67.2</c:v>
                </c:pt>
                <c:pt idx="7">
                  <c:v>84.2</c:v>
                </c:pt>
                <c:pt idx="8">
                  <c:v>101.2</c:v>
                </c:pt>
                <c:pt idx="9">
                  <c:v>118.2</c:v>
                </c:pt>
                <c:pt idx="10">
                  <c:v>135.2</c:v>
                </c:pt>
                <c:pt idx="11">
                  <c:v>152.2</c:v>
                </c:pt>
                <c:pt idx="12">
                  <c:v>169.2</c:v>
                </c:pt>
                <c:pt idx="13">
                  <c:v>186.2</c:v>
                </c:pt>
                <c:pt idx="14">
                  <c:v>203.2</c:v>
                </c:pt>
                <c:pt idx="15">
                  <c:v>220.3</c:v>
                </c:pt>
                <c:pt idx="16">
                  <c:v>237.3</c:v>
                </c:pt>
                <c:pt idx="17">
                  <c:v>254.3</c:v>
                </c:pt>
                <c:pt idx="18">
                  <c:v>271.3</c:v>
                </c:pt>
                <c:pt idx="19">
                  <c:v>288.3</c:v>
                </c:pt>
              </c:strCache>
            </c:strRef>
          </c:cat>
          <c:val>
            <c:numRef>
              <c:f>MC_Results!$C$35:$C$54</c:f>
              <c:numCache>
                <c:formatCode>0.0%</c:formatCode>
                <c:ptCount val="20"/>
                <c:pt idx="0">
                  <c:v>0.08055</c:v>
                </c:pt>
                <c:pt idx="1">
                  <c:v>0.1663</c:v>
                </c:pt>
                <c:pt idx="2">
                  <c:v>0.22975</c:v>
                </c:pt>
                <c:pt idx="3">
                  <c:v>0.15445</c:v>
                </c:pt>
                <c:pt idx="4">
                  <c:v>0.0902</c:v>
                </c:pt>
                <c:pt idx="5">
                  <c:v>0.0537</c:v>
                </c:pt>
                <c:pt idx="6">
                  <c:v>0.03715</c:v>
                </c:pt>
                <c:pt idx="7">
                  <c:v>0.0309</c:v>
                </c:pt>
                <c:pt idx="8">
                  <c:v>0.02785</c:v>
                </c:pt>
                <c:pt idx="9">
                  <c:v>0.02305</c:v>
                </c:pt>
                <c:pt idx="10">
                  <c:v>0.0205</c:v>
                </c:pt>
                <c:pt idx="11">
                  <c:v>0.0161</c:v>
                </c:pt>
                <c:pt idx="12">
                  <c:v>0.01425</c:v>
                </c:pt>
                <c:pt idx="13">
                  <c:v>0.01075</c:v>
                </c:pt>
                <c:pt idx="14">
                  <c:v>0.01</c:v>
                </c:pt>
                <c:pt idx="15">
                  <c:v>0.00675</c:v>
                </c:pt>
                <c:pt idx="16">
                  <c:v>0.0044</c:v>
                </c:pt>
                <c:pt idx="17">
                  <c:v>0.00455</c:v>
                </c:pt>
                <c:pt idx="18">
                  <c:v>0.00375</c:v>
                </c:pt>
                <c:pt idx="19">
                  <c:v>0.01505</c:v>
                </c:pt>
              </c:numCache>
            </c:numRef>
          </c:val>
        </c:ser>
        <c:gapWidth val="150"/>
        <c:overlap val="0"/>
        <c:axId val="48485483"/>
        <c:axId val="7401519"/>
      </c:barChart>
      <c:catAx>
        <c:axId val="48485483"/>
        <c:scaling>
          <c:orientation val="minMax"/>
        </c:scaling>
        <c:delete val="0"/>
        <c:axPos val="b"/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1519"/>
        <c:crosses val="autoZero"/>
        <c:auto val="1"/>
        <c:lblAlgn val="ctr"/>
        <c:lblOffset val="100"/>
        <c:noMultiLvlLbl val="0"/>
      </c:catAx>
      <c:valAx>
        <c:axId val="7401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85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change in NPV vs base (USD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Sensitivity!B5</c:f>
              <c:strCache>
                <c:ptCount val="1"/>
                <c:pt idx="0">
                  <c:v>Δ NPV, low case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Sensitivity!$A$6:$A$16</c:f>
              <c:strCache>
                <c:ptCount val="11"/>
                <c:pt idx="0">
                  <c:v>Regulatory event probability (x0.5 / x2)</c:v>
                </c:pt>
                <c:pt idx="1">
                  <c:v>Realised fine rate (1% / 4%)</c:v>
                </c:pt>
                <c:pt idx="2">
                  <c:v>Programme cost (x1.6 / x0.7)</c:v>
                </c:pt>
                <c:pt idx="3">
                  <c:v>Controversy probability (x0.5 / x2)</c:v>
                </c:pt>
                <c:pt idx="4">
                  <c:v>Ramp-up years (7 / 3)</c:v>
                </c:pt>
                <c:pt idx="5">
                  <c:v>Substitution premium (3% / 12%)</c:v>
                </c:pt>
                <c:pt idx="6">
                  <c:v>Steady-state coverage (0.75 / 0.95)</c:v>
                </c:pt>
                <c:pt idx="7">
                  <c:v>Baseline coverage today (45% / 15%)</c:v>
                </c:pt>
                <c:pt idx="8">
                  <c:v>Blockchain effectiveness (0.75 / 0.97)</c:v>
                </c:pt>
                <c:pt idx="9">
                  <c:v>Share excluded / re-sourced (15% / 50%)</c:v>
                </c:pt>
                <c:pt idx="10">
                  <c:v>Discount rate (12% / 6%)</c:v>
                </c:pt>
              </c:strCache>
            </c:strRef>
          </c:cat>
          <c:val>
            <c:numRef>
              <c:f>Sensitivity!$B$6:$B$16</c:f>
              <c:numCache>
                <c:formatCode>#,##0.0;\(#,##0.0\);\-</c:formatCode>
                <c:ptCount val="11"/>
                <c:pt idx="0">
                  <c:v>-12.1729259992285</c:v>
                </c:pt>
                <c:pt idx="1">
                  <c:v>-12.1729259992285</c:v>
                </c:pt>
                <c:pt idx="2">
                  <c:v>-23.535660209988</c:v>
                </c:pt>
                <c:pt idx="3">
                  <c:v>-10.1441049993571</c:v>
                </c:pt>
                <c:pt idx="4">
                  <c:v>-13.568794219107</c:v>
                </c:pt>
                <c:pt idx="5">
                  <c:v>-5.29231598483602</c:v>
                </c:pt>
                <c:pt idx="6">
                  <c:v>-11.7901708808878</c:v>
                </c:pt>
                <c:pt idx="7">
                  <c:v>-7.76116565924171</c:v>
                </c:pt>
                <c:pt idx="8">
                  <c:v>-10.1250138139592</c:v>
                </c:pt>
                <c:pt idx="9">
                  <c:v>-5.29231598483602</c:v>
                </c:pt>
                <c:pt idx="10">
                  <c:v>-4.81590741392185</c:v>
                </c:pt>
              </c:numCache>
            </c:numRef>
          </c:val>
        </c:ser>
        <c:ser>
          <c:idx val="1"/>
          <c:order val="1"/>
          <c:tx>
            <c:strRef>
              <c:f>Sensitivity!C5</c:f>
              <c:strCache>
                <c:ptCount val="1"/>
                <c:pt idx="0">
                  <c:v>Δ NPV, high case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Sensitivity!$A$6:$A$16</c:f>
              <c:strCache>
                <c:ptCount val="11"/>
                <c:pt idx="0">
                  <c:v>Regulatory event probability (x0.5 / x2)</c:v>
                </c:pt>
                <c:pt idx="1">
                  <c:v>Realised fine rate (1% / 4%)</c:v>
                </c:pt>
                <c:pt idx="2">
                  <c:v>Programme cost (x1.6 / x0.7)</c:v>
                </c:pt>
                <c:pt idx="3">
                  <c:v>Controversy probability (x0.5 / x2)</c:v>
                </c:pt>
                <c:pt idx="4">
                  <c:v>Ramp-up years (7 / 3)</c:v>
                </c:pt>
                <c:pt idx="5">
                  <c:v>Substitution premium (3% / 12%)</c:v>
                </c:pt>
                <c:pt idx="6">
                  <c:v>Steady-state coverage (0.75 / 0.95)</c:v>
                </c:pt>
                <c:pt idx="7">
                  <c:v>Baseline coverage today (45% / 15%)</c:v>
                </c:pt>
                <c:pt idx="8">
                  <c:v>Blockchain effectiveness (0.75 / 0.97)</c:v>
                </c:pt>
                <c:pt idx="9">
                  <c:v>Share excluded / re-sourced (15% / 50%)</c:v>
                </c:pt>
                <c:pt idx="10">
                  <c:v>Discount rate (12% / 6%)</c:v>
                </c:pt>
              </c:strCache>
            </c:strRef>
          </c:cat>
          <c:val>
            <c:numRef>
              <c:f>Sensitivity!$C$6:$C$16</c:f>
              <c:numCache>
                <c:formatCode>#,##0.0;\(#,##0.0\);\-</c:formatCode>
                <c:ptCount val="11"/>
                <c:pt idx="0">
                  <c:v>24.345851998457</c:v>
                </c:pt>
                <c:pt idx="1">
                  <c:v>24.345851998457</c:v>
                </c:pt>
                <c:pt idx="2">
                  <c:v>11.767830104994</c:v>
                </c:pt>
                <c:pt idx="3">
                  <c:v>20.2882099987142</c:v>
                </c:pt>
                <c:pt idx="4">
                  <c:v>4.87046725483218</c:v>
                </c:pt>
                <c:pt idx="5">
                  <c:v>10.584631969672</c:v>
                </c:pt>
                <c:pt idx="6">
                  <c:v>3.9300569602959</c:v>
                </c:pt>
                <c:pt idx="7">
                  <c:v>7.76116565924167</c:v>
                </c:pt>
                <c:pt idx="8">
                  <c:v>4.7250064465143</c:v>
                </c:pt>
                <c:pt idx="9">
                  <c:v>7.05642131311467</c:v>
                </c:pt>
                <c:pt idx="10">
                  <c:v>2.86086340759727</c:v>
                </c:pt>
              </c:numCache>
            </c:numRef>
          </c:val>
        </c:ser>
        <c:gapWidth val="150"/>
        <c:overlap val="100"/>
        <c:axId val="27833553"/>
        <c:axId val="52208770"/>
      </c:barChart>
      <c:catAx>
        <c:axId val="278335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08770"/>
        <c:crosses val="autoZero"/>
        <c:auto val="1"/>
        <c:lblAlgn val="ctr"/>
        <c:lblOffset val="100"/>
        <c:noMultiLvlLbl val="0"/>
      </c:catAx>
      <c:valAx>
        <c:axId val="52208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335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Composite risk score (base weights)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Risk_Index!$H$17:$J$17</c:f>
              <c:strCache>
                <c:ptCount val="3"/>
                <c:pt idx="0">
                  <c:v>Unilever</c:v>
                </c:pt>
                <c:pt idx="1">
                  <c:v>Nestlé</c:v>
                </c:pt>
                <c:pt idx="2">
                  <c:v>Wilmar</c:v>
                </c:pt>
              </c:strCache>
            </c:strRef>
          </c:cat>
          <c:val>
            <c:numRef>
              <c:f>Risk_Index!$H$18:$J$18</c:f>
              <c:numCache>
                <c:formatCode>#,##0.0;\(#,##0.0\);\-</c:formatCode>
                <c:ptCount val="3"/>
                <c:pt idx="0">
                  <c:v>53.0044042594577</c:v>
                </c:pt>
                <c:pt idx="1">
                  <c:v>39.9403021840939</c:v>
                </c:pt>
                <c:pt idx="2">
                  <c:v>63.5124208194972</c:v>
                </c:pt>
              </c:numCache>
            </c:numRef>
          </c:val>
        </c:ser>
        <c:gapWidth val="150"/>
        <c:overlap val="0"/>
        <c:axId val="27711829"/>
        <c:axId val="22622277"/>
      </c:barChart>
      <c:catAx>
        <c:axId val="277118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22277"/>
        <c:crosses val="autoZero"/>
        <c:auto val="1"/>
        <c:lblAlgn val="ctr"/>
        <c:lblOffset val="100"/>
        <c:noMultiLvlLbl val="0"/>
      </c:catAx>
      <c:valAx>
        <c:axId val="22622277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118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BESG ESG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"Wilmar (WIL SP)"</c:f>
              <c:strCache>
                <c:ptCount val="1"/>
                <c:pt idx="0">
                  <c:v>Wilmar (WIL SP)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ESG!$B$5:$J$5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ESG!$B$6:$J$6</c:f>
              <c:numCache>
                <c:formatCode>#,##0.00;\(#,##0.00\);\-</c:formatCode>
                <c:ptCount val="9"/>
                <c:pt idx="0">
                  <c:v>2.71</c:v>
                </c:pt>
                <c:pt idx="1">
                  <c:v>2.76</c:v>
                </c:pt>
                <c:pt idx="2">
                  <c:v>3.06</c:v>
                </c:pt>
                <c:pt idx="3">
                  <c:v>3.74</c:v>
                </c:pt>
                <c:pt idx="4">
                  <c:v>4.9</c:v>
                </c:pt>
                <c:pt idx="5">
                  <c:v>5.12</c:v>
                </c:pt>
                <c:pt idx="6">
                  <c:v>6.29</c:v>
                </c:pt>
                <c:pt idx="7">
                  <c:v>5.97</c:v>
                </c:pt>
                <c:pt idx="8">
                  <c:v>6.15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"Nestlé (NESN SW)"</c:f>
              <c:strCache>
                <c:ptCount val="1"/>
                <c:pt idx="0">
                  <c:v>Nestlé (NESN SW)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ESG!$B$5:$J$5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ESG!$B$16:$J$16</c:f>
              <c:numCache>
                <c:formatCode>#,##0.00;\(#,##0.00\);\-</c:formatCode>
                <c:ptCount val="9"/>
                <c:pt idx="0">
                  <c:v>4.54</c:v>
                </c:pt>
                <c:pt idx="1">
                  <c:v>4.92</c:v>
                </c:pt>
                <c:pt idx="2">
                  <c:v>5.03</c:v>
                </c:pt>
                <c:pt idx="3">
                  <c:v>5.94</c:v>
                </c:pt>
                <c:pt idx="4">
                  <c:v>6.17</c:v>
                </c:pt>
                <c:pt idx="5">
                  <c:v>5.01</c:v>
                </c:pt>
                <c:pt idx="6">
                  <c:v>5.14</c:v>
                </c:pt>
                <c:pt idx="7">
                  <c:v>5.23</c:v>
                </c:pt>
                <c:pt idx="8">
                  <c:v>5.28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"Unilever (ULVR LN)"</c:f>
              <c:strCache>
                <c:ptCount val="1"/>
                <c:pt idx="0">
                  <c:v>Unilever (ULVR LN)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ESG!$B$5:$J$5</c:f>
              <c:multiLvlStrCache>
                <c:ptCount val="1"/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ESG!$B$26:$J$26</c:f>
              <c:numCache>
                <c:formatCode>#,##0.00;\(#,##0.00\);\-</c:formatCode>
                <c:ptCount val="9"/>
                <c:pt idx="0">
                  <c:v>3.92</c:v>
                </c:pt>
                <c:pt idx="1">
                  <c:v>4.03</c:v>
                </c:pt>
                <c:pt idx="2">
                  <c:v>4.24</c:v>
                </c:pt>
                <c:pt idx="3">
                  <c:v>4.28</c:v>
                </c:pt>
                <c:pt idx="4">
                  <c:v>4.56</c:v>
                </c:pt>
                <c:pt idx="5">
                  <c:v>4.41</c:v>
                </c:pt>
                <c:pt idx="6">
                  <c:v>4.68</c:v>
                </c:pt>
                <c:pt idx="7">
                  <c:v>4.91</c:v>
                </c:pt>
                <c:pt idx="8">
                  <c:v>4.82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030280"/>
        <c:axId val="37419868"/>
      </c:lineChart>
      <c:catAx>
        <c:axId val="4603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19868"/>
        <c:crosses val="autoZero"/>
        <c:auto val="1"/>
        <c:lblAlgn val="ctr"/>
        <c:lblOffset val="100"/>
        <c:noMultiLvlLbl val="0"/>
      </c:catAx>
      <c:valAx>
        <c:axId val="37419868"/>
        <c:scaling>
          <c:orientation val="minMax"/>
          <c:max val="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302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Rebased prices (17-Aug-26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Price_Analytics!J6</c:f>
              <c:strCache>
                <c:ptCount val="1"/>
                <c:pt idx="0">
                  <c:v>CPO (rebased)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Price_Analytics!$A$7:$A$50</c:f>
              <c:strCache>
                <c:ptCount val="44"/>
                <c:pt idx="0">
                  <c:v>17-Aug-26</c:v>
                </c:pt>
                <c:pt idx="1">
                  <c:v>18-Aug-26</c:v>
                </c:pt>
                <c:pt idx="2">
                  <c:v>19-Aug-26</c:v>
                </c:pt>
                <c:pt idx="3">
                  <c:v>20-Aug-26</c:v>
                </c:pt>
                <c:pt idx="4">
                  <c:v>21-Aug-26</c:v>
                </c:pt>
                <c:pt idx="5">
                  <c:v>24-Aug-26</c:v>
                </c:pt>
                <c:pt idx="6">
                  <c:v>25-Aug-26</c:v>
                </c:pt>
                <c:pt idx="7">
                  <c:v>26-Aug-26</c:v>
                </c:pt>
                <c:pt idx="8">
                  <c:v>27-Aug-26</c:v>
                </c:pt>
                <c:pt idx="9">
                  <c:v>28-Aug-26</c:v>
                </c:pt>
                <c:pt idx="10">
                  <c:v>31-Aug-26</c:v>
                </c:pt>
                <c:pt idx="11">
                  <c:v>01-Sep-26</c:v>
                </c:pt>
                <c:pt idx="12">
                  <c:v>02-Sep-26</c:v>
                </c:pt>
                <c:pt idx="13">
                  <c:v>03-Sep-26</c:v>
                </c:pt>
                <c:pt idx="14">
                  <c:v>04-Sep-26</c:v>
                </c:pt>
                <c:pt idx="15">
                  <c:v>07-Sep-26</c:v>
                </c:pt>
                <c:pt idx="16">
                  <c:v>08-Sep-26</c:v>
                </c:pt>
                <c:pt idx="17">
                  <c:v>09-Sep-26</c:v>
                </c:pt>
                <c:pt idx="18">
                  <c:v>10-Sep-26</c:v>
                </c:pt>
                <c:pt idx="19">
                  <c:v>11-Sep-26</c:v>
                </c:pt>
                <c:pt idx="20">
                  <c:v>14-Sep-26</c:v>
                </c:pt>
                <c:pt idx="21">
                  <c:v>15-Sep-26</c:v>
                </c:pt>
                <c:pt idx="22">
                  <c:v>16-Sep-26</c:v>
                </c:pt>
                <c:pt idx="23">
                  <c:v>17-Sep-26</c:v>
                </c:pt>
                <c:pt idx="24">
                  <c:v>18-Sep-26</c:v>
                </c:pt>
                <c:pt idx="25">
                  <c:v>21-Sep-26</c:v>
                </c:pt>
                <c:pt idx="26">
                  <c:v>22-Sep-26</c:v>
                </c:pt>
                <c:pt idx="27">
                  <c:v>23-Sep-26</c:v>
                </c:pt>
                <c:pt idx="28">
                  <c:v>24-Sep-26</c:v>
                </c:pt>
                <c:pt idx="29">
                  <c:v>25-Sep-26</c:v>
                </c:pt>
                <c:pt idx="30">
                  <c:v>28-Sep-26</c:v>
                </c:pt>
                <c:pt idx="31">
                  <c:v>29-Sep-26</c:v>
                </c:pt>
                <c:pt idx="32">
                  <c:v>30-Sep-26</c:v>
                </c:pt>
                <c:pt idx="33">
                  <c:v>01-Oct-26</c:v>
                </c:pt>
                <c:pt idx="34">
                  <c:v>02-Oct-26</c:v>
                </c:pt>
                <c:pt idx="35">
                  <c:v>05-Oct-26</c:v>
                </c:pt>
                <c:pt idx="36">
                  <c:v>06-Oct-26</c:v>
                </c:pt>
                <c:pt idx="37">
                  <c:v>07-Oct-26</c:v>
                </c:pt>
                <c:pt idx="38">
                  <c:v>08-Oct-26</c:v>
                </c:pt>
                <c:pt idx="39">
                  <c:v>09-Oct-26</c:v>
                </c:pt>
                <c:pt idx="40">
                  <c:v>12-Oct-26</c:v>
                </c:pt>
                <c:pt idx="41">
                  <c:v>13-Oct-26</c:v>
                </c:pt>
                <c:pt idx="42">
                  <c:v>14-Oct-26</c:v>
                </c:pt>
                <c:pt idx="43">
                  <c:v>15-Oct-26</c:v>
                </c:pt>
              </c:strCache>
            </c:strRef>
          </c:cat>
          <c:val>
            <c:numRef>
              <c:f>Price_Analytics!$J$7:$J$50</c:f>
              <c:numCache>
                <c:formatCode>#,##0.0;\(#,##0.0\);\-</c:formatCode>
                <c:ptCount val="44"/>
                <c:pt idx="0">
                  <c:v>100</c:v>
                </c:pt>
                <c:pt idx="1">
                  <c:v>100.815827044667</c:v>
                </c:pt>
                <c:pt idx="2">
                  <c:v>101.40730165205</c:v>
                </c:pt>
                <c:pt idx="3">
                  <c:v>102.488272486233</c:v>
                </c:pt>
                <c:pt idx="4">
                  <c:v>103.548847644299</c:v>
                </c:pt>
                <c:pt idx="5">
                  <c:v>102.243524372833</c:v>
                </c:pt>
                <c:pt idx="6">
                  <c:v>102.243524372833</c:v>
                </c:pt>
                <c:pt idx="7">
                  <c:v>100.571078931267</c:v>
                </c:pt>
                <c:pt idx="8">
                  <c:v>100.081582704467</c:v>
                </c:pt>
                <c:pt idx="9">
                  <c:v>101.733632469916</c:v>
                </c:pt>
                <c:pt idx="10">
                  <c:v>101.733632469916</c:v>
                </c:pt>
                <c:pt idx="11">
                  <c:v>103.446869263716</c:v>
                </c:pt>
                <c:pt idx="12">
                  <c:v>103.304099530899</c:v>
                </c:pt>
                <c:pt idx="13">
                  <c:v>102.345502753416</c:v>
                </c:pt>
                <c:pt idx="14">
                  <c:v>103.079747093616</c:v>
                </c:pt>
                <c:pt idx="15">
                  <c:v>104.221904956149</c:v>
                </c:pt>
                <c:pt idx="16">
                  <c:v>104.323883336733</c:v>
                </c:pt>
                <c:pt idx="17">
                  <c:v>104.201509280033</c:v>
                </c:pt>
                <c:pt idx="18">
                  <c:v>102.651437895166</c:v>
                </c:pt>
                <c:pt idx="19">
                  <c:v>100.836222720783</c:v>
                </c:pt>
                <c:pt idx="20">
                  <c:v>101.121762186416</c:v>
                </c:pt>
                <c:pt idx="21">
                  <c:v>101.937589231083</c:v>
                </c:pt>
                <c:pt idx="22">
                  <c:v>101.937589231083</c:v>
                </c:pt>
                <c:pt idx="23">
                  <c:v>100.67305731185</c:v>
                </c:pt>
                <c:pt idx="24">
                  <c:v>99.8980216194167</c:v>
                </c:pt>
                <c:pt idx="25">
                  <c:v>99.0617988986335</c:v>
                </c:pt>
                <c:pt idx="26">
                  <c:v>98.1032021211503</c:v>
                </c:pt>
                <c:pt idx="27">
                  <c:v>97.2465837242505</c:v>
                </c:pt>
                <c:pt idx="28">
                  <c:v>97.3281664287171</c:v>
                </c:pt>
                <c:pt idx="29">
                  <c:v>95.2885988170508</c:v>
                </c:pt>
                <c:pt idx="30">
                  <c:v>95.1254334081175</c:v>
                </c:pt>
                <c:pt idx="31">
                  <c:v>94.309606363451</c:v>
                </c:pt>
                <c:pt idx="32">
                  <c:v>94.0240668978177</c:v>
                </c:pt>
                <c:pt idx="33">
                  <c:v>92.8819090352845</c:v>
                </c:pt>
                <c:pt idx="34">
                  <c:v>92.4943911890679</c:v>
                </c:pt>
                <c:pt idx="35">
                  <c:v>93.3714052620844</c:v>
                </c:pt>
                <c:pt idx="36">
                  <c:v>93.0042830919845</c:v>
                </c:pt>
                <c:pt idx="37">
                  <c:v>92.2700387517846</c:v>
                </c:pt>
                <c:pt idx="38">
                  <c:v>95.0642463797675</c:v>
                </c:pt>
                <c:pt idx="39">
                  <c:v>93.6569447277177</c:v>
                </c:pt>
                <c:pt idx="40">
                  <c:v>94.5747501529676</c:v>
                </c:pt>
                <c:pt idx="41">
                  <c:v>95.4925555782174</c:v>
                </c:pt>
                <c:pt idx="42">
                  <c:v>95.8596777483174</c:v>
                </c:pt>
                <c:pt idx="43">
                  <c:v>95.1662247603508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Price_Analytics!K6</c:f>
              <c:strCache>
                <c:ptCount val="1"/>
                <c:pt idx="0">
                  <c:v>WIL (rebased)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Price_Analytics!$A$7:$A$50</c:f>
              <c:strCache>
                <c:ptCount val="44"/>
                <c:pt idx="0">
                  <c:v>17-Aug-26</c:v>
                </c:pt>
                <c:pt idx="1">
                  <c:v>18-Aug-26</c:v>
                </c:pt>
                <c:pt idx="2">
                  <c:v>19-Aug-26</c:v>
                </c:pt>
                <c:pt idx="3">
                  <c:v>20-Aug-26</c:v>
                </c:pt>
                <c:pt idx="4">
                  <c:v>21-Aug-26</c:v>
                </c:pt>
                <c:pt idx="5">
                  <c:v>24-Aug-26</c:v>
                </c:pt>
                <c:pt idx="6">
                  <c:v>25-Aug-26</c:v>
                </c:pt>
                <c:pt idx="7">
                  <c:v>26-Aug-26</c:v>
                </c:pt>
                <c:pt idx="8">
                  <c:v>27-Aug-26</c:v>
                </c:pt>
                <c:pt idx="9">
                  <c:v>28-Aug-26</c:v>
                </c:pt>
                <c:pt idx="10">
                  <c:v>31-Aug-26</c:v>
                </c:pt>
                <c:pt idx="11">
                  <c:v>01-Sep-26</c:v>
                </c:pt>
                <c:pt idx="12">
                  <c:v>02-Sep-26</c:v>
                </c:pt>
                <c:pt idx="13">
                  <c:v>03-Sep-26</c:v>
                </c:pt>
                <c:pt idx="14">
                  <c:v>04-Sep-26</c:v>
                </c:pt>
                <c:pt idx="15">
                  <c:v>07-Sep-26</c:v>
                </c:pt>
                <c:pt idx="16">
                  <c:v>08-Sep-26</c:v>
                </c:pt>
                <c:pt idx="17">
                  <c:v>09-Sep-26</c:v>
                </c:pt>
                <c:pt idx="18">
                  <c:v>10-Sep-26</c:v>
                </c:pt>
                <c:pt idx="19">
                  <c:v>11-Sep-26</c:v>
                </c:pt>
                <c:pt idx="20">
                  <c:v>14-Sep-26</c:v>
                </c:pt>
                <c:pt idx="21">
                  <c:v>15-Sep-26</c:v>
                </c:pt>
                <c:pt idx="22">
                  <c:v>16-Sep-26</c:v>
                </c:pt>
                <c:pt idx="23">
                  <c:v>17-Sep-26</c:v>
                </c:pt>
                <c:pt idx="24">
                  <c:v>18-Sep-26</c:v>
                </c:pt>
                <c:pt idx="25">
                  <c:v>21-Sep-26</c:v>
                </c:pt>
                <c:pt idx="26">
                  <c:v>22-Sep-26</c:v>
                </c:pt>
                <c:pt idx="27">
                  <c:v>23-Sep-26</c:v>
                </c:pt>
                <c:pt idx="28">
                  <c:v>24-Sep-26</c:v>
                </c:pt>
                <c:pt idx="29">
                  <c:v>25-Sep-26</c:v>
                </c:pt>
                <c:pt idx="30">
                  <c:v>28-Sep-26</c:v>
                </c:pt>
                <c:pt idx="31">
                  <c:v>29-Sep-26</c:v>
                </c:pt>
                <c:pt idx="32">
                  <c:v>30-Sep-26</c:v>
                </c:pt>
                <c:pt idx="33">
                  <c:v>01-Oct-26</c:v>
                </c:pt>
                <c:pt idx="34">
                  <c:v>02-Oct-26</c:v>
                </c:pt>
                <c:pt idx="35">
                  <c:v>05-Oct-26</c:v>
                </c:pt>
                <c:pt idx="36">
                  <c:v>06-Oct-26</c:v>
                </c:pt>
                <c:pt idx="37">
                  <c:v>07-Oct-26</c:v>
                </c:pt>
                <c:pt idx="38">
                  <c:v>08-Oct-26</c:v>
                </c:pt>
                <c:pt idx="39">
                  <c:v>09-Oct-26</c:v>
                </c:pt>
                <c:pt idx="40">
                  <c:v>12-Oct-26</c:v>
                </c:pt>
                <c:pt idx="41">
                  <c:v>13-Oct-26</c:v>
                </c:pt>
                <c:pt idx="42">
                  <c:v>14-Oct-26</c:v>
                </c:pt>
                <c:pt idx="43">
                  <c:v>15-Oct-26</c:v>
                </c:pt>
              </c:strCache>
            </c:strRef>
          </c:cat>
          <c:val>
            <c:numRef>
              <c:f>Price_Analytics!$K$7:$K$50</c:f>
              <c:numCache>
                <c:formatCode>#,##0.0;\(#,##0.0\);\-</c:formatCode>
                <c:ptCount val="44"/>
                <c:pt idx="0">
                  <c:v>100</c:v>
                </c:pt>
                <c:pt idx="1">
                  <c:v>100.817438692098</c:v>
                </c:pt>
                <c:pt idx="2">
                  <c:v>99.1825613079019</c:v>
                </c:pt>
                <c:pt idx="3">
                  <c:v>99.7275204359673</c:v>
                </c:pt>
                <c:pt idx="4">
                  <c:v>101.089918256131</c:v>
                </c:pt>
                <c:pt idx="5">
                  <c:v>102.452316076294</c:v>
                </c:pt>
                <c:pt idx="6">
                  <c:v>102.179836512262</c:v>
                </c:pt>
                <c:pt idx="7">
                  <c:v>102.179836512262</c:v>
                </c:pt>
                <c:pt idx="8">
                  <c:v>102.724795640327</c:v>
                </c:pt>
                <c:pt idx="9">
                  <c:v>103.814713896458</c:v>
                </c:pt>
                <c:pt idx="10">
                  <c:v>104.632152588556</c:v>
                </c:pt>
                <c:pt idx="11">
                  <c:v>102.452316076294</c:v>
                </c:pt>
                <c:pt idx="12">
                  <c:v>104.632152588556</c:v>
                </c:pt>
                <c:pt idx="13">
                  <c:v>104.632152588556</c:v>
                </c:pt>
                <c:pt idx="14">
                  <c:v>104.08719346049</c:v>
                </c:pt>
                <c:pt idx="15">
                  <c:v>103.542234332425</c:v>
                </c:pt>
                <c:pt idx="16">
                  <c:v>101.634877384196</c:v>
                </c:pt>
                <c:pt idx="17">
                  <c:v>101.634877384196</c:v>
                </c:pt>
                <c:pt idx="18">
                  <c:v>101.089918256131</c:v>
                </c:pt>
                <c:pt idx="19">
                  <c:v>101.089918256131</c:v>
                </c:pt>
                <c:pt idx="20">
                  <c:v>101.362397820164</c:v>
                </c:pt>
                <c:pt idx="21">
                  <c:v>100.817438692098</c:v>
                </c:pt>
                <c:pt idx="22">
                  <c:v>101.089918256131</c:v>
                </c:pt>
                <c:pt idx="23">
                  <c:v>101.634877384196</c:v>
                </c:pt>
                <c:pt idx="24">
                  <c:v>100.272479564033</c:v>
                </c:pt>
                <c:pt idx="25">
                  <c:v>99.4550408719346</c:v>
                </c:pt>
                <c:pt idx="26">
                  <c:v>99.4550408719346</c:v>
                </c:pt>
                <c:pt idx="27">
                  <c:v>100</c:v>
                </c:pt>
                <c:pt idx="28">
                  <c:v>99.4550408719346</c:v>
                </c:pt>
                <c:pt idx="29">
                  <c:v>100.272479564033</c:v>
                </c:pt>
                <c:pt idx="30">
                  <c:v>98.3651226158038</c:v>
                </c:pt>
                <c:pt idx="31">
                  <c:v>97.5476839237057</c:v>
                </c:pt>
                <c:pt idx="32">
                  <c:v>98.3651226158038</c:v>
                </c:pt>
                <c:pt idx="33">
                  <c:v>95.6403269754768</c:v>
                </c:pt>
                <c:pt idx="34">
                  <c:v>94.5504087193461</c:v>
                </c:pt>
                <c:pt idx="35">
                  <c:v>94.8228882833788</c:v>
                </c:pt>
                <c:pt idx="36">
                  <c:v>98.0926430517711</c:v>
                </c:pt>
                <c:pt idx="37">
                  <c:v>98.0926430517711</c:v>
                </c:pt>
                <c:pt idx="38">
                  <c:v>96.1852861035422</c:v>
                </c:pt>
                <c:pt idx="39">
                  <c:v>96.7302452316076</c:v>
                </c:pt>
                <c:pt idx="40">
                  <c:v>96.7302452316076</c:v>
                </c:pt>
                <c:pt idx="41">
                  <c:v>96.7302452316076</c:v>
                </c:pt>
                <c:pt idx="42">
                  <c:v>96.7302452316076</c:v>
                </c:pt>
                <c:pt idx="43">
                  <c:v>96.7302452316076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Price_Analytics!L6</c:f>
              <c:strCache>
                <c:ptCount val="1"/>
                <c:pt idx="0">
                  <c:v>NESN (rebased)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Price_Analytics!$A$7:$A$50</c:f>
              <c:strCache>
                <c:ptCount val="44"/>
                <c:pt idx="0">
                  <c:v>17-Aug-26</c:v>
                </c:pt>
                <c:pt idx="1">
                  <c:v>18-Aug-26</c:v>
                </c:pt>
                <c:pt idx="2">
                  <c:v>19-Aug-26</c:v>
                </c:pt>
                <c:pt idx="3">
                  <c:v>20-Aug-26</c:v>
                </c:pt>
                <c:pt idx="4">
                  <c:v>21-Aug-26</c:v>
                </c:pt>
                <c:pt idx="5">
                  <c:v>24-Aug-26</c:v>
                </c:pt>
                <c:pt idx="6">
                  <c:v>25-Aug-26</c:v>
                </c:pt>
                <c:pt idx="7">
                  <c:v>26-Aug-26</c:v>
                </c:pt>
                <c:pt idx="8">
                  <c:v>27-Aug-26</c:v>
                </c:pt>
                <c:pt idx="9">
                  <c:v>28-Aug-26</c:v>
                </c:pt>
                <c:pt idx="10">
                  <c:v>31-Aug-26</c:v>
                </c:pt>
                <c:pt idx="11">
                  <c:v>01-Sep-26</c:v>
                </c:pt>
                <c:pt idx="12">
                  <c:v>02-Sep-26</c:v>
                </c:pt>
                <c:pt idx="13">
                  <c:v>03-Sep-26</c:v>
                </c:pt>
                <c:pt idx="14">
                  <c:v>04-Sep-26</c:v>
                </c:pt>
                <c:pt idx="15">
                  <c:v>07-Sep-26</c:v>
                </c:pt>
                <c:pt idx="16">
                  <c:v>08-Sep-26</c:v>
                </c:pt>
                <c:pt idx="17">
                  <c:v>09-Sep-26</c:v>
                </c:pt>
                <c:pt idx="18">
                  <c:v>10-Sep-26</c:v>
                </c:pt>
                <c:pt idx="19">
                  <c:v>11-Sep-26</c:v>
                </c:pt>
                <c:pt idx="20">
                  <c:v>14-Sep-26</c:v>
                </c:pt>
                <c:pt idx="21">
                  <c:v>15-Sep-26</c:v>
                </c:pt>
                <c:pt idx="22">
                  <c:v>16-Sep-26</c:v>
                </c:pt>
                <c:pt idx="23">
                  <c:v>17-Sep-26</c:v>
                </c:pt>
                <c:pt idx="24">
                  <c:v>18-Sep-26</c:v>
                </c:pt>
                <c:pt idx="25">
                  <c:v>21-Sep-26</c:v>
                </c:pt>
                <c:pt idx="26">
                  <c:v>22-Sep-26</c:v>
                </c:pt>
                <c:pt idx="27">
                  <c:v>23-Sep-26</c:v>
                </c:pt>
                <c:pt idx="28">
                  <c:v>24-Sep-26</c:v>
                </c:pt>
                <c:pt idx="29">
                  <c:v>25-Sep-26</c:v>
                </c:pt>
                <c:pt idx="30">
                  <c:v>28-Sep-26</c:v>
                </c:pt>
                <c:pt idx="31">
                  <c:v>29-Sep-26</c:v>
                </c:pt>
                <c:pt idx="32">
                  <c:v>30-Sep-26</c:v>
                </c:pt>
                <c:pt idx="33">
                  <c:v>01-Oct-26</c:v>
                </c:pt>
                <c:pt idx="34">
                  <c:v>02-Oct-26</c:v>
                </c:pt>
                <c:pt idx="35">
                  <c:v>05-Oct-26</c:v>
                </c:pt>
                <c:pt idx="36">
                  <c:v>06-Oct-26</c:v>
                </c:pt>
                <c:pt idx="37">
                  <c:v>07-Oct-26</c:v>
                </c:pt>
                <c:pt idx="38">
                  <c:v>08-Oct-26</c:v>
                </c:pt>
                <c:pt idx="39">
                  <c:v>09-Oct-26</c:v>
                </c:pt>
                <c:pt idx="40">
                  <c:v>12-Oct-26</c:v>
                </c:pt>
                <c:pt idx="41">
                  <c:v>13-Oct-26</c:v>
                </c:pt>
                <c:pt idx="42">
                  <c:v>14-Oct-26</c:v>
                </c:pt>
                <c:pt idx="43">
                  <c:v>15-Oct-26</c:v>
                </c:pt>
              </c:strCache>
            </c:strRef>
          </c:cat>
          <c:val>
            <c:numRef>
              <c:f>Price_Analytics!$L$7:$L$50</c:f>
              <c:numCache>
                <c:formatCode>#,##0.0;\(#,##0.0\);\-</c:formatCode>
                <c:ptCount val="44"/>
                <c:pt idx="0">
                  <c:v>100</c:v>
                </c:pt>
                <c:pt idx="1">
                  <c:v>100.62253843222</c:v>
                </c:pt>
                <c:pt idx="2">
                  <c:v>100.800406555711</c:v>
                </c:pt>
                <c:pt idx="3">
                  <c:v>100.876635751493</c:v>
                </c:pt>
                <c:pt idx="4">
                  <c:v>101.232371998475</c:v>
                </c:pt>
                <c:pt idx="5">
                  <c:v>102.223351543641</c:v>
                </c:pt>
                <c:pt idx="6">
                  <c:v>101.410240121967</c:v>
                </c:pt>
                <c:pt idx="7">
                  <c:v>101.473764451785</c:v>
                </c:pt>
                <c:pt idx="8">
                  <c:v>99.7586075466904</c:v>
                </c:pt>
                <c:pt idx="9">
                  <c:v>99.885656206327</c:v>
                </c:pt>
                <c:pt idx="10">
                  <c:v>100.1397535256</c:v>
                </c:pt>
                <c:pt idx="11">
                  <c:v>99.7459026807267</c:v>
                </c:pt>
                <c:pt idx="12">
                  <c:v>99.8983610722907</c:v>
                </c:pt>
                <c:pt idx="13">
                  <c:v>98.8946766611612</c:v>
                </c:pt>
                <c:pt idx="14">
                  <c:v>99.4918053614534</c:v>
                </c:pt>
                <c:pt idx="15">
                  <c:v>100.063524329818</c:v>
                </c:pt>
                <c:pt idx="16">
                  <c:v>102.134417481896</c:v>
                </c:pt>
                <c:pt idx="17">
                  <c:v>98.7549231355609</c:v>
                </c:pt>
                <c:pt idx="18">
                  <c:v>98.7676280015246</c:v>
                </c:pt>
                <c:pt idx="19">
                  <c:v>98.5135306822513</c:v>
                </c:pt>
                <c:pt idx="20">
                  <c:v>100.62253843222</c:v>
                </c:pt>
                <c:pt idx="21">
                  <c:v>98.9582009909796</c:v>
                </c:pt>
                <c:pt idx="22">
                  <c:v>98.6659890738153</c:v>
                </c:pt>
                <c:pt idx="23">
                  <c:v>99.5172150933808</c:v>
                </c:pt>
                <c:pt idx="24">
                  <c:v>96.900012704866</c:v>
                </c:pt>
                <c:pt idx="25">
                  <c:v>97.9545165798501</c:v>
                </c:pt>
                <c:pt idx="26">
                  <c:v>97.9418117138864</c:v>
                </c:pt>
                <c:pt idx="27">
                  <c:v>97.9545165798501</c:v>
                </c:pt>
                <c:pt idx="28">
                  <c:v>99.0217253207979</c:v>
                </c:pt>
                <c:pt idx="29">
                  <c:v>98.0434506415957</c:v>
                </c:pt>
                <c:pt idx="30">
                  <c:v>97.8274679202135</c:v>
                </c:pt>
                <c:pt idx="31">
                  <c:v>96.8873078389023</c:v>
                </c:pt>
                <c:pt idx="32">
                  <c:v>96.5823910557744</c:v>
                </c:pt>
                <c:pt idx="33">
                  <c:v>94.8164146868251</c:v>
                </c:pt>
                <c:pt idx="34">
                  <c:v>95.00698767628</c:v>
                </c:pt>
                <c:pt idx="35">
                  <c:v>94.6258416973701</c:v>
                </c:pt>
                <c:pt idx="36">
                  <c:v>95.5405920467539</c:v>
                </c:pt>
                <c:pt idx="37">
                  <c:v>95.9979672214458</c:v>
                </c:pt>
                <c:pt idx="38">
                  <c:v>96.556981323847</c:v>
                </c:pt>
                <c:pt idx="39">
                  <c:v>96.6078007877017</c:v>
                </c:pt>
                <c:pt idx="40">
                  <c:v>96.6078007877017</c:v>
                </c:pt>
                <c:pt idx="41">
                  <c:v>96.6078007877017</c:v>
                </c:pt>
                <c:pt idx="42">
                  <c:v>96.6078007877017</c:v>
                </c:pt>
                <c:pt idx="43">
                  <c:v>96.6078007877017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Price_Analytics!M6</c:f>
              <c:strCache>
                <c:ptCount val="1"/>
                <c:pt idx="0">
                  <c:v>ULVR (rebased)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Price_Analytics!$A$7:$A$50</c:f>
              <c:strCache>
                <c:ptCount val="44"/>
                <c:pt idx="0">
                  <c:v>17-Aug-26</c:v>
                </c:pt>
                <c:pt idx="1">
                  <c:v>18-Aug-26</c:v>
                </c:pt>
                <c:pt idx="2">
                  <c:v>19-Aug-26</c:v>
                </c:pt>
                <c:pt idx="3">
                  <c:v>20-Aug-26</c:v>
                </c:pt>
                <c:pt idx="4">
                  <c:v>21-Aug-26</c:v>
                </c:pt>
                <c:pt idx="5">
                  <c:v>24-Aug-26</c:v>
                </c:pt>
                <c:pt idx="6">
                  <c:v>25-Aug-26</c:v>
                </c:pt>
                <c:pt idx="7">
                  <c:v>26-Aug-26</c:v>
                </c:pt>
                <c:pt idx="8">
                  <c:v>27-Aug-26</c:v>
                </c:pt>
                <c:pt idx="9">
                  <c:v>28-Aug-26</c:v>
                </c:pt>
                <c:pt idx="10">
                  <c:v>31-Aug-26</c:v>
                </c:pt>
                <c:pt idx="11">
                  <c:v>01-Sep-26</c:v>
                </c:pt>
                <c:pt idx="12">
                  <c:v>02-Sep-26</c:v>
                </c:pt>
                <c:pt idx="13">
                  <c:v>03-Sep-26</c:v>
                </c:pt>
                <c:pt idx="14">
                  <c:v>04-Sep-26</c:v>
                </c:pt>
                <c:pt idx="15">
                  <c:v>07-Sep-26</c:v>
                </c:pt>
                <c:pt idx="16">
                  <c:v>08-Sep-26</c:v>
                </c:pt>
                <c:pt idx="17">
                  <c:v>09-Sep-26</c:v>
                </c:pt>
                <c:pt idx="18">
                  <c:v>10-Sep-26</c:v>
                </c:pt>
                <c:pt idx="19">
                  <c:v>11-Sep-26</c:v>
                </c:pt>
                <c:pt idx="20">
                  <c:v>14-Sep-26</c:v>
                </c:pt>
                <c:pt idx="21">
                  <c:v>15-Sep-26</c:v>
                </c:pt>
                <c:pt idx="22">
                  <c:v>16-Sep-26</c:v>
                </c:pt>
                <c:pt idx="23">
                  <c:v>17-Sep-26</c:v>
                </c:pt>
                <c:pt idx="24">
                  <c:v>18-Sep-26</c:v>
                </c:pt>
                <c:pt idx="25">
                  <c:v>21-Sep-26</c:v>
                </c:pt>
                <c:pt idx="26">
                  <c:v>22-Sep-26</c:v>
                </c:pt>
                <c:pt idx="27">
                  <c:v>23-Sep-26</c:v>
                </c:pt>
                <c:pt idx="28">
                  <c:v>24-Sep-26</c:v>
                </c:pt>
                <c:pt idx="29">
                  <c:v>25-Sep-26</c:v>
                </c:pt>
                <c:pt idx="30">
                  <c:v>28-Sep-26</c:v>
                </c:pt>
                <c:pt idx="31">
                  <c:v>29-Sep-26</c:v>
                </c:pt>
                <c:pt idx="32">
                  <c:v>30-Sep-26</c:v>
                </c:pt>
                <c:pt idx="33">
                  <c:v>01-Oct-26</c:v>
                </c:pt>
                <c:pt idx="34">
                  <c:v>02-Oct-26</c:v>
                </c:pt>
                <c:pt idx="35">
                  <c:v>05-Oct-26</c:v>
                </c:pt>
                <c:pt idx="36">
                  <c:v>06-Oct-26</c:v>
                </c:pt>
                <c:pt idx="37">
                  <c:v>07-Oct-26</c:v>
                </c:pt>
                <c:pt idx="38">
                  <c:v>08-Oct-26</c:v>
                </c:pt>
                <c:pt idx="39">
                  <c:v>09-Oct-26</c:v>
                </c:pt>
                <c:pt idx="40">
                  <c:v>12-Oct-26</c:v>
                </c:pt>
                <c:pt idx="41">
                  <c:v>13-Oct-26</c:v>
                </c:pt>
                <c:pt idx="42">
                  <c:v>14-Oct-26</c:v>
                </c:pt>
                <c:pt idx="43">
                  <c:v>15-Oct-26</c:v>
                </c:pt>
              </c:strCache>
            </c:strRef>
          </c:cat>
          <c:val>
            <c:numRef>
              <c:f>Price_Analytics!$M$7:$M$50</c:f>
              <c:numCache>
                <c:formatCode>#,##0.0;\(#,##0.0\);\-</c:formatCode>
                <c:ptCount val="44"/>
                <c:pt idx="0">
                  <c:v>100</c:v>
                </c:pt>
                <c:pt idx="1">
                  <c:v>101.451523545706</c:v>
                </c:pt>
                <c:pt idx="2">
                  <c:v>102.792243767313</c:v>
                </c:pt>
                <c:pt idx="3">
                  <c:v>103.024930747922</c:v>
                </c:pt>
                <c:pt idx="4">
                  <c:v>103.734072022161</c:v>
                </c:pt>
                <c:pt idx="5">
                  <c:v>105.983379501385</c:v>
                </c:pt>
                <c:pt idx="6">
                  <c:v>105.518005540166</c:v>
                </c:pt>
                <c:pt idx="7">
                  <c:v>105.750692520776</c:v>
                </c:pt>
                <c:pt idx="8">
                  <c:v>105.307479224377</c:v>
                </c:pt>
                <c:pt idx="9">
                  <c:v>105.839335180055</c:v>
                </c:pt>
                <c:pt idx="10">
                  <c:v>105.839335180055</c:v>
                </c:pt>
                <c:pt idx="11">
                  <c:v>106.614958448753</c:v>
                </c:pt>
                <c:pt idx="12">
                  <c:v>105.983379501385</c:v>
                </c:pt>
                <c:pt idx="13">
                  <c:v>104.886426592798</c:v>
                </c:pt>
                <c:pt idx="14">
                  <c:v>105.551246537396</c:v>
                </c:pt>
                <c:pt idx="15">
                  <c:v>104.01108033241</c:v>
                </c:pt>
                <c:pt idx="16">
                  <c:v>104.05540166205</c:v>
                </c:pt>
                <c:pt idx="17">
                  <c:v>102.404432132964</c:v>
                </c:pt>
                <c:pt idx="18">
                  <c:v>101.030470914127</c:v>
                </c:pt>
                <c:pt idx="19">
                  <c:v>100.864265927978</c:v>
                </c:pt>
                <c:pt idx="20">
                  <c:v>104.08864265928</c:v>
                </c:pt>
                <c:pt idx="21">
                  <c:v>102.858725761773</c:v>
                </c:pt>
                <c:pt idx="22">
                  <c:v>102.825484764543</c:v>
                </c:pt>
                <c:pt idx="23">
                  <c:v>102.659279778393</c:v>
                </c:pt>
                <c:pt idx="24">
                  <c:v>102.404432132964</c:v>
                </c:pt>
                <c:pt idx="25">
                  <c:v>102.880886426593</c:v>
                </c:pt>
                <c:pt idx="26">
                  <c:v>104.1108033241</c:v>
                </c:pt>
                <c:pt idx="27">
                  <c:v>103.645429362881</c:v>
                </c:pt>
                <c:pt idx="28">
                  <c:v>104.343490304709</c:v>
                </c:pt>
                <c:pt idx="29">
                  <c:v>103.368421052632</c:v>
                </c:pt>
                <c:pt idx="30">
                  <c:v>103.512465373961</c:v>
                </c:pt>
                <c:pt idx="31">
                  <c:v>102.282548476454</c:v>
                </c:pt>
                <c:pt idx="32">
                  <c:v>102.016620498615</c:v>
                </c:pt>
                <c:pt idx="33">
                  <c:v>99.590027700831</c:v>
                </c:pt>
                <c:pt idx="34">
                  <c:v>99.3573407202216</c:v>
                </c:pt>
                <c:pt idx="35">
                  <c:v>99.7340720221607</c:v>
                </c:pt>
                <c:pt idx="36">
                  <c:v>101.252077562327</c:v>
                </c:pt>
                <c:pt idx="37">
                  <c:v>102.448753462604</c:v>
                </c:pt>
                <c:pt idx="38">
                  <c:v>102.515235457064</c:v>
                </c:pt>
                <c:pt idx="39">
                  <c:v>103.567867036011</c:v>
                </c:pt>
                <c:pt idx="40">
                  <c:v>104.997229916898</c:v>
                </c:pt>
                <c:pt idx="41">
                  <c:v>104.387811634349</c:v>
                </c:pt>
                <c:pt idx="42">
                  <c:v>107.013850415512</c:v>
                </c:pt>
                <c:pt idx="43">
                  <c:v>107.013850415512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781966"/>
        <c:axId val="93691986"/>
      </c:lineChart>
      <c:catAx>
        <c:axId val="3778196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91986"/>
        <c:crosses val="autoZero"/>
        <c:auto val="1"/>
        <c:lblAlgn val="ctr"/>
        <c:lblOffset val="100"/>
        <c:noMultiLvlLbl val="0"/>
      </c:catAx>
      <c:valAx>
        <c:axId val="93691986"/>
        <c:scaling>
          <c:orientation val="minMax"/>
          <c:max val="115"/>
          <c:min val="9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81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32</xdr:row>
      <xdr:rowOff>160920</xdr:rowOff>
    </xdr:from>
    <xdr:to>
      <xdr:col>11</xdr:col>
      <xdr:colOff>299880</xdr:colOff>
      <xdr:row>47</xdr:row>
      <xdr:rowOff>70560</xdr:rowOff>
    </xdr:to>
    <xdr:graphicFrame>
      <xdr:nvGraphicFramePr>
        <xdr:cNvPr id="0" name="Chart 1"/>
        <xdr:cNvGraphicFramePr/>
      </xdr:nvGraphicFramePr>
      <xdr:xfrm>
        <a:off x="4863600" y="7267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16</xdr:col>
      <xdr:colOff>97920</xdr:colOff>
      <xdr:row>17</xdr:row>
      <xdr:rowOff>352440</xdr:rowOff>
    </xdr:to>
    <xdr:graphicFrame>
      <xdr:nvGraphicFramePr>
        <xdr:cNvPr id="1" name="Chart 1"/>
        <xdr:cNvGraphicFramePr/>
      </xdr:nvGraphicFramePr>
      <xdr:xfrm>
        <a:off x="718956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160560</xdr:rowOff>
    </xdr:from>
    <xdr:to>
      <xdr:col>1</xdr:col>
      <xdr:colOff>1092600</xdr:colOff>
      <xdr:row>40</xdr:row>
      <xdr:rowOff>13320</xdr:rowOff>
    </xdr:to>
    <xdr:graphicFrame>
      <xdr:nvGraphicFramePr>
        <xdr:cNvPr id="2" name="Chart 1"/>
        <xdr:cNvGraphicFramePr/>
      </xdr:nvGraphicFramePr>
      <xdr:xfrm>
        <a:off x="0" y="6095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33</xdr:row>
      <xdr:rowOff>813960</xdr:rowOff>
    </xdr:from>
    <xdr:to>
      <xdr:col>6</xdr:col>
      <xdr:colOff>558720</xdr:colOff>
      <xdr:row>47</xdr:row>
      <xdr:rowOff>46440</xdr:rowOff>
    </xdr:to>
    <xdr:graphicFrame>
      <xdr:nvGraphicFramePr>
        <xdr:cNvPr id="3" name="Chart 1"/>
        <xdr:cNvGraphicFramePr/>
      </xdr:nvGraphicFramePr>
      <xdr:xfrm>
        <a:off x="0" y="74674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16</xdr:row>
      <xdr:rowOff>160560</xdr:rowOff>
    </xdr:from>
    <xdr:to>
      <xdr:col>21</xdr:col>
      <xdr:colOff>56160</xdr:colOff>
      <xdr:row>32</xdr:row>
      <xdr:rowOff>172440</xdr:rowOff>
    </xdr:to>
    <xdr:graphicFrame>
      <xdr:nvGraphicFramePr>
        <xdr:cNvPr id="4" name="Chart 1"/>
        <xdr:cNvGraphicFramePr/>
      </xdr:nvGraphicFramePr>
      <xdr:xfrm>
        <a:off x="11982600" y="34290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8"/>
    <col collapsed="false" customWidth="true" hidden="false" outlineLevel="0" max="4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6" t="s">
        <v>6</v>
      </c>
    </row>
    <row r="7" customFormat="false" ht="15" hidden="false" customHeight="false" outlineLevel="0" collapsed="false">
      <c r="A7" s="8" t="s">
        <v>7</v>
      </c>
      <c r="B7" s="6" t="s">
        <v>8</v>
      </c>
    </row>
    <row r="8" customFormat="false" ht="15" hidden="false" customHeight="false" outlineLevel="0" collapsed="false">
      <c r="A8" s="9" t="s">
        <v>9</v>
      </c>
      <c r="B8" s="6" t="s">
        <v>10</v>
      </c>
    </row>
    <row r="10" customFormat="false" ht="15" hidden="false" customHeight="false" outlineLevel="0" collapsed="false">
      <c r="A10" s="3" t="s">
        <v>11</v>
      </c>
      <c r="B10" s="4"/>
      <c r="C10" s="4"/>
      <c r="D10" s="4"/>
    </row>
    <row r="11" customFormat="false" ht="15" hidden="false" customHeight="false" outlineLevel="0" collapsed="false">
      <c r="A11" s="10" t="s">
        <v>12</v>
      </c>
      <c r="B11" s="6" t="s">
        <v>13</v>
      </c>
    </row>
    <row r="12" customFormat="false" ht="15" hidden="false" customHeight="false" outlineLevel="0" collapsed="false">
      <c r="A12" s="10" t="s">
        <v>14</v>
      </c>
      <c r="B12" s="6" t="s">
        <v>15</v>
      </c>
    </row>
    <row r="13" customFormat="false" ht="15" hidden="false" customHeight="false" outlineLevel="0" collapsed="false">
      <c r="A13" s="10" t="s">
        <v>16</v>
      </c>
      <c r="B13" s="6" t="s">
        <v>17</v>
      </c>
    </row>
    <row r="14" customFormat="false" ht="15" hidden="false" customHeight="false" outlineLevel="0" collapsed="false">
      <c r="A14" s="10" t="s">
        <v>18</v>
      </c>
      <c r="B14" s="6" t="s">
        <v>19</v>
      </c>
    </row>
    <row r="15" customFormat="false" ht="15" hidden="false" customHeight="false" outlineLevel="0" collapsed="false">
      <c r="A15" s="10" t="s">
        <v>20</v>
      </c>
      <c r="B15" s="6" t="s">
        <v>21</v>
      </c>
    </row>
    <row r="16" customFormat="false" ht="15" hidden="false" customHeight="false" outlineLevel="0" collapsed="false">
      <c r="A16" s="10" t="s">
        <v>22</v>
      </c>
      <c r="B16" s="6" t="s">
        <v>23</v>
      </c>
    </row>
    <row r="17" customFormat="false" ht="15" hidden="false" customHeight="false" outlineLevel="0" collapsed="false">
      <c r="A17" s="10" t="s">
        <v>24</v>
      </c>
      <c r="B17" s="6" t="s">
        <v>25</v>
      </c>
    </row>
    <row r="18" customFormat="false" ht="15" hidden="false" customHeight="false" outlineLevel="0" collapsed="false">
      <c r="A18" s="10" t="s">
        <v>26</v>
      </c>
      <c r="B18" s="6" t="s">
        <v>27</v>
      </c>
    </row>
    <row r="19" customFormat="false" ht="15" hidden="false" customHeight="false" outlineLevel="0" collapsed="false">
      <c r="A19" s="10" t="s">
        <v>28</v>
      </c>
      <c r="B19" s="6" t="s">
        <v>29</v>
      </c>
    </row>
    <row r="20" customFormat="false" ht="15" hidden="false" customHeight="false" outlineLevel="0" collapsed="false">
      <c r="A20" s="10" t="s">
        <v>30</v>
      </c>
      <c r="B20" s="6" t="s">
        <v>31</v>
      </c>
    </row>
    <row r="21" customFormat="false" ht="15" hidden="false" customHeight="false" outlineLevel="0" collapsed="false">
      <c r="A21" s="10" t="s">
        <v>32</v>
      </c>
      <c r="B21" s="6" t="s">
        <v>33</v>
      </c>
    </row>
    <row r="22" customFormat="false" ht="15" hidden="false" customHeight="false" outlineLevel="0" collapsed="false">
      <c r="A22" s="10" t="s">
        <v>34</v>
      </c>
      <c r="B22" s="6" t="s">
        <v>35</v>
      </c>
    </row>
    <row r="23" customFormat="false" ht="15" hidden="false" customHeight="false" outlineLevel="0" collapsed="false">
      <c r="A23" s="10" t="s">
        <v>36</v>
      </c>
      <c r="B23" s="6" t="s">
        <v>37</v>
      </c>
    </row>
    <row r="25" customFormat="false" ht="15" hidden="false" customHeight="false" outlineLevel="0" collapsed="false">
      <c r="A25" s="3" t="s">
        <v>38</v>
      </c>
      <c r="B25" s="4"/>
      <c r="C25" s="4"/>
      <c r="D25" s="4"/>
    </row>
    <row r="26" customFormat="false" ht="24" hidden="false" customHeight="true" outlineLevel="0" collapsed="false">
      <c r="A26" s="11" t="s">
        <v>39</v>
      </c>
      <c r="B26" s="11" t="s">
        <v>40</v>
      </c>
      <c r="C26" s="11" t="s">
        <v>41</v>
      </c>
      <c r="D26" s="11" t="s">
        <v>42</v>
      </c>
    </row>
    <row r="27" customFormat="false" ht="91.5" hidden="false" customHeight="true" outlineLevel="0" collapsed="false">
      <c r="A27" s="12" t="s">
        <v>43</v>
      </c>
      <c r="B27" s="12" t="s">
        <v>44</v>
      </c>
      <c r="C27" s="12" t="s">
        <v>45</v>
      </c>
      <c r="D27" s="12" t="s">
        <v>46</v>
      </c>
    </row>
    <row r="28" customFormat="false" ht="91.5" hidden="false" customHeight="true" outlineLevel="0" collapsed="false">
      <c r="A28" s="12" t="s">
        <v>47</v>
      </c>
      <c r="B28" s="12" t="s">
        <v>48</v>
      </c>
      <c r="C28" s="12" t="s">
        <v>49</v>
      </c>
      <c r="D28" s="12" t="s">
        <v>50</v>
      </c>
    </row>
    <row r="29" customFormat="false" ht="91.5" hidden="false" customHeight="true" outlineLevel="0" collapsed="false">
      <c r="A29" s="12" t="s">
        <v>51</v>
      </c>
      <c r="B29" s="12" t="s">
        <v>52</v>
      </c>
      <c r="C29" s="12" t="s">
        <v>53</v>
      </c>
      <c r="D29" s="12" t="s">
        <v>54</v>
      </c>
    </row>
    <row r="30" customFormat="false" ht="91.5" hidden="false" customHeight="true" outlineLevel="0" collapsed="false">
      <c r="A30" s="12" t="s">
        <v>55</v>
      </c>
      <c r="B30" s="12" t="s">
        <v>56</v>
      </c>
      <c r="C30" s="12" t="s">
        <v>57</v>
      </c>
      <c r="D30" s="12" t="s">
        <v>58</v>
      </c>
    </row>
    <row r="31" customFormat="false" ht="91.5" hidden="false" customHeight="true" outlineLevel="0" collapsed="false">
      <c r="A31" s="12" t="s">
        <v>59</v>
      </c>
      <c r="B31" s="12" t="s">
        <v>60</v>
      </c>
      <c r="C31" s="12" t="s">
        <v>61</v>
      </c>
      <c r="D31" s="12" t="s">
        <v>62</v>
      </c>
    </row>
    <row r="32" customFormat="false" ht="91.5" hidden="false" customHeight="true" outlineLevel="0" collapsed="false">
      <c r="A32" s="12" t="s">
        <v>63</v>
      </c>
      <c r="B32" s="12" t="s">
        <v>64</v>
      </c>
      <c r="C32" s="12" t="s">
        <v>65</v>
      </c>
      <c r="D32" s="12" t="s">
        <v>66</v>
      </c>
    </row>
    <row r="33" customFormat="false" ht="91.5" hidden="false" customHeight="true" outlineLevel="0" collapsed="false">
      <c r="A33" s="12" t="s">
        <v>67</v>
      </c>
      <c r="B33" s="12" t="s">
        <v>68</v>
      </c>
      <c r="C33" s="12" t="s">
        <v>69</v>
      </c>
      <c r="D33" s="12" t="s">
        <v>70</v>
      </c>
    </row>
    <row r="34" customFormat="false" ht="91.5" hidden="false" customHeight="true" outlineLevel="0" collapsed="false">
      <c r="A34" s="12" t="s">
        <v>71</v>
      </c>
      <c r="B34" s="12" t="s">
        <v>72</v>
      </c>
      <c r="C34" s="12" t="s">
        <v>73</v>
      </c>
      <c r="D34" s="12" t="s">
        <v>74</v>
      </c>
    </row>
    <row r="35" customFormat="false" ht="91.5" hidden="false" customHeight="true" outlineLevel="0" collapsed="false">
      <c r="A35" s="12" t="s">
        <v>75</v>
      </c>
      <c r="B35" s="12" t="s">
        <v>76</v>
      </c>
      <c r="C35" s="12" t="s">
        <v>77</v>
      </c>
      <c r="D35" s="12" t="s">
        <v>78</v>
      </c>
    </row>
    <row r="36" customFormat="false" ht="91.5" hidden="false" customHeight="true" outlineLevel="0" collapsed="false">
      <c r="A36" s="12" t="s">
        <v>79</v>
      </c>
      <c r="B36" s="12" t="s">
        <v>80</v>
      </c>
      <c r="C36" s="12" t="s">
        <v>81</v>
      </c>
      <c r="D36" s="1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10" t="s">
        <v>85</v>
      </c>
      <c r="B4" s="13" t="str">
        <f aca="false">Assumptions!B13</f>
        <v>Base</v>
      </c>
    </row>
    <row r="6" customFormat="false" ht="24" hidden="false" customHeight="true" outlineLevel="0" collapsed="false">
      <c r="A6" s="11" t="s">
        <v>86</v>
      </c>
      <c r="B6" s="11" t="s">
        <v>87</v>
      </c>
      <c r="C6" s="11" t="s">
        <v>88</v>
      </c>
      <c r="D6" s="11" t="s">
        <v>89</v>
      </c>
      <c r="E6" s="11" t="s">
        <v>90</v>
      </c>
    </row>
    <row r="7" customFormat="false" ht="15" hidden="false" customHeight="false" outlineLevel="0" collapsed="false">
      <c r="A7" s="3" t="s">
        <v>91</v>
      </c>
      <c r="B7" s="4"/>
      <c r="C7" s="4"/>
      <c r="D7" s="4"/>
      <c r="E7" s="4"/>
    </row>
    <row r="8" customFormat="false" ht="15" hidden="false" customHeight="false" outlineLevel="0" collapsed="false">
      <c r="A8" s="10" t="s">
        <v>92</v>
      </c>
      <c r="B8" s="14" t="n">
        <f aca="false">ROI_ULVR!E71</f>
        <v>20.1774728693584</v>
      </c>
      <c r="C8" s="14" t="n">
        <f aca="false">ROI_NESN!E71</f>
        <v>44.4128561200751</v>
      </c>
      <c r="D8" s="14" t="n">
        <f aca="false">ROI_WIL!E71</f>
        <v>89.9683439999847</v>
      </c>
      <c r="E8" s="2" t="s">
        <v>93</v>
      </c>
    </row>
    <row r="9" customFormat="false" ht="15" hidden="false" customHeight="false" outlineLevel="0" collapsed="false">
      <c r="A9" s="10" t="s">
        <v>94</v>
      </c>
      <c r="B9" s="14" t="n">
        <f aca="false">ROI_ULVR!E72</f>
        <v>15.9925936168631</v>
      </c>
      <c r="C9" s="14" t="n">
        <f aca="false">ROI_NESN!E72</f>
        <v>46.6788903772055</v>
      </c>
      <c r="D9" s="14" t="n">
        <f aca="false">ROI_WIL!E72</f>
        <v>86.3638543460882</v>
      </c>
      <c r="E9" s="2" t="s">
        <v>93</v>
      </c>
    </row>
    <row r="10" customFormat="false" ht="15" hidden="false" customHeight="false" outlineLevel="0" collapsed="false">
      <c r="A10" s="6" t="s">
        <v>95</v>
      </c>
      <c r="B10" s="14" t="n">
        <f aca="false">ROI_ULVR!E81</f>
        <v>-4.18487925249528</v>
      </c>
      <c r="C10" s="14" t="n">
        <f aca="false">ROI_NESN!E81</f>
        <v>2.26603425713046</v>
      </c>
      <c r="D10" s="14" t="n">
        <f aca="false">ROI_WIL!E81</f>
        <v>-3.60448965389642</v>
      </c>
      <c r="E10" s="2" t="s">
        <v>96</v>
      </c>
    </row>
    <row r="11" customFormat="false" ht="15" hidden="false" customHeight="false" outlineLevel="0" collapsed="false">
      <c r="A11" s="6" t="s">
        <v>97</v>
      </c>
      <c r="B11" s="15" t="n">
        <f aca="false">ROI_ULVR!G71</f>
        <v>1.81303733185831</v>
      </c>
      <c r="C11" s="15" t="n">
        <f aca="false">ROI_NESN!G71</f>
        <v>3.11343861187047</v>
      </c>
      <c r="D11" s="15" t="n">
        <f aca="false">ROI_WIL!G71</f>
        <v>2.10992552415256</v>
      </c>
      <c r="E11" s="2"/>
    </row>
    <row r="12" customFormat="false" ht="15" hidden="false" customHeight="false" outlineLevel="0" collapsed="false">
      <c r="A12" s="6" t="s">
        <v>98</v>
      </c>
      <c r="B12" s="15" t="n">
        <f aca="false">ROI_ULVR!G72</f>
        <v>1.40770286809485</v>
      </c>
      <c r="C12" s="15" t="n">
        <f aca="false">ROI_NESN!G72</f>
        <v>2.35602994362388</v>
      </c>
      <c r="D12" s="15" t="n">
        <f aca="false">ROI_WIL!G72</f>
        <v>1.7289245344613</v>
      </c>
      <c r="E12" s="2"/>
    </row>
    <row r="13" customFormat="false" ht="15" hidden="false" customHeight="false" outlineLevel="0" collapsed="false">
      <c r="A13" s="6" t="s">
        <v>99</v>
      </c>
      <c r="B13" s="16" t="n">
        <f aca="false">ROI_ULVR!I71</f>
        <v>3</v>
      </c>
      <c r="C13" s="16" t="n">
        <f aca="false">ROI_NESN!I71</f>
        <v>2</v>
      </c>
      <c r="D13" s="16" t="n">
        <f aca="false">ROI_WIL!I71</f>
        <v>3</v>
      </c>
      <c r="E13" s="2"/>
    </row>
    <row r="14" customFormat="false" ht="15" hidden="false" customHeight="false" outlineLevel="0" collapsed="false">
      <c r="A14" s="6" t="s">
        <v>100</v>
      </c>
      <c r="B14" s="16" t="n">
        <f aca="false">ROI_ULVR!I72</f>
        <v>5</v>
      </c>
      <c r="C14" s="16" t="n">
        <f aca="false">ROI_NESN!I72</f>
        <v>3</v>
      </c>
      <c r="D14" s="16" t="n">
        <f aca="false">ROI_WIL!I72</f>
        <v>4</v>
      </c>
      <c r="E14" s="2"/>
    </row>
    <row r="15" customFormat="false" ht="15" hidden="false" customHeight="false" outlineLevel="0" collapsed="false">
      <c r="A15" s="6" t="s">
        <v>101</v>
      </c>
      <c r="B15" s="17" t="n">
        <f aca="false">ROI_ULVR!H72</f>
        <v>0.343108073692524</v>
      </c>
      <c r="C15" s="17" t="n">
        <f aca="false">ROI_NESN!H72</f>
        <v>0.00890946693457428</v>
      </c>
      <c r="D15" s="17" t="n">
        <f aca="false">ROI_WIL!H72</f>
        <v>0</v>
      </c>
      <c r="E15" s="2" t="s">
        <v>102</v>
      </c>
    </row>
    <row r="17" customFormat="false" ht="15" hidden="false" customHeight="false" outlineLevel="0" collapsed="false">
      <c r="A17" s="3" t="s">
        <v>103</v>
      </c>
      <c r="B17" s="4"/>
      <c r="C17" s="4"/>
      <c r="D17" s="4"/>
      <c r="E17" s="4"/>
    </row>
    <row r="18" customFormat="false" ht="15" hidden="false" customHeight="false" outlineLevel="0" collapsed="false">
      <c r="A18" s="6" t="s">
        <v>104</v>
      </c>
      <c r="B18" s="18" t="n">
        <f aca="false">MC_Results!H11</f>
        <v>0.78925</v>
      </c>
      <c r="C18" s="18" t="n">
        <f aca="false">MC_Results!H19</f>
        <v>0.9332</v>
      </c>
      <c r="D18" s="18" t="n">
        <f aca="false">MC_Results!H27</f>
        <v>0.88505</v>
      </c>
    </row>
    <row r="19" customFormat="false" ht="15" hidden="false" customHeight="false" outlineLevel="0" collapsed="false">
      <c r="A19" s="6" t="s">
        <v>105</v>
      </c>
      <c r="B19" s="18" t="n">
        <f aca="false">MC_Results!H12</f>
        <v>0.6236</v>
      </c>
      <c r="C19" s="18" t="n">
        <f aca="false">MC_Results!H20</f>
        <v>0.8275</v>
      </c>
      <c r="D19" s="18" t="n">
        <f aca="false">MC_Results!H28</f>
        <v>0.7567</v>
      </c>
    </row>
    <row r="20" customFormat="false" ht="15" hidden="false" customHeight="false" outlineLevel="0" collapsed="false">
      <c r="A20" s="6" t="s">
        <v>106</v>
      </c>
      <c r="B20" s="18" t="n">
        <f aca="false">MC_Results!I12</f>
        <v>0.35255</v>
      </c>
      <c r="C20" s="18" t="n">
        <f aca="false">MC_Results!I20</f>
        <v>0.42045</v>
      </c>
      <c r="D20" s="18" t="n">
        <f aca="false">MC_Results!I28</f>
        <v>0.38345</v>
      </c>
    </row>
    <row r="22" customFormat="false" ht="15" hidden="false" customHeight="false" outlineLevel="0" collapsed="false">
      <c r="A22" s="3" t="s">
        <v>107</v>
      </c>
      <c r="B22" s="4"/>
      <c r="C22" s="4"/>
      <c r="D22" s="4"/>
      <c r="E22" s="4"/>
    </row>
    <row r="23" customFormat="false" ht="15" hidden="false" customHeight="false" outlineLevel="0" collapsed="false">
      <c r="A23" s="10" t="s">
        <v>108</v>
      </c>
      <c r="B23" s="14" t="n">
        <f aca="false">Risk_Index!H18</f>
        <v>53.0044042594577</v>
      </c>
      <c r="C23" s="14" t="n">
        <f aca="false">Risk_Index!I18</f>
        <v>39.9403021840939</v>
      </c>
      <c r="D23" s="14" t="n">
        <f aca="false">Risk_Index!J18</f>
        <v>63.5124208194972</v>
      </c>
      <c r="E23" s="2" t="s">
        <v>109</v>
      </c>
    </row>
    <row r="24" customFormat="false" ht="15" hidden="false" customHeight="false" outlineLevel="0" collapsed="false">
      <c r="A24" s="6" t="s">
        <v>110</v>
      </c>
      <c r="B24" s="16" t="n">
        <f aca="false">Supply_Chain!B148</f>
        <v>0</v>
      </c>
      <c r="C24" s="16" t="n">
        <f aca="false">Supply_Chain!B117</f>
        <v>0</v>
      </c>
      <c r="D24" s="16" t="n">
        <f aca="false">Supply_Chain!B84</f>
        <v>10</v>
      </c>
      <c r="E24" s="2" t="s">
        <v>111</v>
      </c>
    </row>
    <row r="25" customFormat="false" ht="15" hidden="false" customHeight="false" outlineLevel="0" collapsed="false">
      <c r="A25" s="6" t="s">
        <v>112</v>
      </c>
      <c r="B25" s="19" t="n">
        <f aca="false">Supply_Chain!B147</f>
        <v>0.1657</v>
      </c>
      <c r="C25" s="19" t="n">
        <f aca="false">Supply_Chain!B116</f>
        <v>0.1287</v>
      </c>
      <c r="D25" s="20" t="n">
        <f aca="false">Supply_Chain!B82</f>
        <v>0.0266</v>
      </c>
    </row>
    <row r="26" customFormat="false" ht="15" hidden="false" customHeight="false" outlineLevel="0" collapsed="false">
      <c r="A26" s="6" t="s">
        <v>113</v>
      </c>
      <c r="B26" s="16" t="n">
        <f aca="false">News_Events!C7</f>
        <v>12</v>
      </c>
      <c r="C26" s="16" t="n">
        <f aca="false">News_Events!C8</f>
        <v>1</v>
      </c>
      <c r="D26" s="16" t="n">
        <f aca="false">News_Events!C9</f>
        <v>19</v>
      </c>
      <c r="E26" s="2" t="s">
        <v>114</v>
      </c>
    </row>
    <row r="28" customFormat="false" ht="15" hidden="false" customHeight="false" outlineLevel="0" collapsed="false">
      <c r="A28" s="3" t="s">
        <v>115</v>
      </c>
      <c r="B28" s="4"/>
      <c r="C28" s="4"/>
      <c r="D28" s="4"/>
      <c r="E28" s="4"/>
    </row>
    <row r="29" customFormat="false" ht="78" hidden="false" customHeight="true" outlineLevel="0" collapsed="false">
      <c r="A29" s="21" t="s">
        <v>116</v>
      </c>
      <c r="B29" s="21"/>
      <c r="C29" s="21"/>
      <c r="D29" s="21"/>
      <c r="E29" s="21"/>
    </row>
    <row r="30" customFormat="false" ht="78" hidden="false" customHeight="true" outlineLevel="0" collapsed="false">
      <c r="A30" s="21" t="s">
        <v>117</v>
      </c>
      <c r="B30" s="21"/>
      <c r="C30" s="21"/>
      <c r="D30" s="21"/>
      <c r="E30" s="21"/>
    </row>
    <row r="31" customFormat="false" ht="78" hidden="false" customHeight="true" outlineLevel="0" collapsed="false">
      <c r="A31" s="21" t="s">
        <v>118</v>
      </c>
      <c r="B31" s="21"/>
      <c r="C31" s="21"/>
      <c r="D31" s="21"/>
      <c r="E31" s="21"/>
    </row>
    <row r="32" customFormat="false" ht="78" hidden="false" customHeight="true" outlineLevel="0" collapsed="false">
      <c r="A32" s="21" t="s">
        <v>119</v>
      </c>
      <c r="B32" s="21"/>
      <c r="C32" s="21"/>
      <c r="D32" s="21"/>
      <c r="E32" s="21"/>
    </row>
    <row r="33" customFormat="false" ht="78" hidden="false" customHeight="true" outlineLevel="0" collapsed="false">
      <c r="A33" s="21" t="s">
        <v>120</v>
      </c>
      <c r="B33" s="21"/>
      <c r="C33" s="21"/>
      <c r="D33" s="21"/>
      <c r="E33" s="21"/>
    </row>
  </sheetData>
  <mergeCells count="5"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95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3" t="s">
        <v>123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6" t="s">
        <v>124</v>
      </c>
      <c r="B5" s="22" t="n">
        <v>0.08</v>
      </c>
      <c r="F5" s="23" t="s">
        <v>125</v>
      </c>
    </row>
    <row r="6" customFormat="false" ht="15" hidden="false" customHeight="false" outlineLevel="0" collapsed="false">
      <c r="A6" s="6" t="s">
        <v>126</v>
      </c>
      <c r="B6" s="24" t="n">
        <v>0.02</v>
      </c>
      <c r="F6" s="23" t="s">
        <v>127</v>
      </c>
    </row>
    <row r="7" customFormat="false" ht="23.85" hidden="false" customHeight="false" outlineLevel="0" collapsed="false">
      <c r="A7" s="6" t="s">
        <v>128</v>
      </c>
      <c r="B7" s="22" t="n">
        <v>0.02</v>
      </c>
      <c r="F7" s="23" t="s">
        <v>129</v>
      </c>
    </row>
    <row r="8" customFormat="false" ht="15" hidden="false" customHeight="false" outlineLevel="0" collapsed="false">
      <c r="A8" s="6" t="s">
        <v>130</v>
      </c>
      <c r="B8" s="24" t="n">
        <v>0.06</v>
      </c>
      <c r="F8" s="23" t="s">
        <v>131</v>
      </c>
    </row>
    <row r="9" customFormat="false" ht="15" hidden="false" customHeight="false" outlineLevel="0" collapsed="false">
      <c r="A9" s="6" t="s">
        <v>132</v>
      </c>
      <c r="B9" s="24" t="n">
        <v>0.3</v>
      </c>
      <c r="F9" s="23" t="s">
        <v>133</v>
      </c>
    </row>
    <row r="10" customFormat="false" ht="15" hidden="false" customHeight="false" outlineLevel="0" collapsed="false">
      <c r="A10" s="6" t="s">
        <v>134</v>
      </c>
      <c r="B10" s="22" t="n">
        <v>0.3</v>
      </c>
      <c r="F10" s="23" t="s">
        <v>135</v>
      </c>
    </row>
    <row r="11" customFormat="false" ht="15" hidden="false" customHeight="false" outlineLevel="0" collapsed="false">
      <c r="A11" s="6" t="s">
        <v>136</v>
      </c>
      <c r="B11" s="25" t="n">
        <v>1.15</v>
      </c>
      <c r="F11" s="23" t="s">
        <v>137</v>
      </c>
    </row>
    <row r="12" customFormat="false" ht="15" hidden="false" customHeight="false" outlineLevel="0" collapsed="false">
      <c r="A12" s="6" t="s">
        <v>138</v>
      </c>
      <c r="B12" s="25" t="n">
        <v>1.25</v>
      </c>
      <c r="F12" s="23" t="s">
        <v>139</v>
      </c>
    </row>
    <row r="13" customFormat="false" ht="15" hidden="false" customHeight="false" outlineLevel="0" collapsed="false">
      <c r="A13" s="10" t="s">
        <v>140</v>
      </c>
      <c r="B13" s="26" t="s">
        <v>141</v>
      </c>
      <c r="F13" s="2" t="s">
        <v>142</v>
      </c>
    </row>
    <row r="15" customFormat="false" ht="31.5" hidden="false" customHeight="true" outlineLevel="0" collapsed="false">
      <c r="A15" s="11" t="s">
        <v>143</v>
      </c>
      <c r="B15" s="11" t="s">
        <v>144</v>
      </c>
      <c r="C15" s="11" t="s">
        <v>145</v>
      </c>
      <c r="D15" s="11" t="s">
        <v>146</v>
      </c>
      <c r="E15" s="11" t="s">
        <v>147</v>
      </c>
    </row>
    <row r="16" customFormat="false" ht="15" hidden="false" customHeight="false" outlineLevel="0" collapsed="false">
      <c r="A16" s="10" t="s">
        <v>141</v>
      </c>
      <c r="B16" s="27" t="n">
        <v>1</v>
      </c>
      <c r="C16" s="27" t="n">
        <v>1</v>
      </c>
      <c r="D16" s="27" t="n">
        <v>1</v>
      </c>
      <c r="E16" s="27" t="n">
        <v>1</v>
      </c>
      <c r="F16" s="2" t="s">
        <v>148</v>
      </c>
    </row>
    <row r="17" customFormat="false" ht="15" hidden="false" customHeight="false" outlineLevel="0" collapsed="false">
      <c r="A17" s="10" t="s">
        <v>149</v>
      </c>
      <c r="B17" s="27" t="n">
        <v>2</v>
      </c>
      <c r="C17" s="27" t="n">
        <v>1.5</v>
      </c>
      <c r="D17" s="27" t="n">
        <v>1.5</v>
      </c>
      <c r="E17" s="27" t="n">
        <v>1</v>
      </c>
    </row>
    <row r="18" customFormat="false" ht="15" hidden="false" customHeight="false" outlineLevel="0" collapsed="false">
      <c r="A18" s="10" t="s">
        <v>150</v>
      </c>
      <c r="B18" s="27" t="n">
        <v>4</v>
      </c>
      <c r="C18" s="27" t="n">
        <v>2.5</v>
      </c>
      <c r="D18" s="27" t="n">
        <v>2.5</v>
      </c>
      <c r="E18" s="27" t="n">
        <v>1.3</v>
      </c>
    </row>
    <row r="19" customFormat="false" ht="15" hidden="false" customHeight="false" outlineLevel="0" collapsed="false">
      <c r="A19" s="10" t="s">
        <v>151</v>
      </c>
      <c r="B19" s="28" t="n">
        <f aca="false">INDEX(B16:B18,MATCH($B$13,$A$16:$A$18,0))</f>
        <v>1</v>
      </c>
      <c r="C19" s="28" t="n">
        <f aca="false">INDEX(C16:C18,MATCH($B$13,$A$16:$A$18,0))</f>
        <v>1</v>
      </c>
      <c r="D19" s="28" t="n">
        <f aca="false">INDEX(D16:D18,MATCH($B$13,$A$16:$A$18,0))</f>
        <v>1</v>
      </c>
      <c r="E19" s="28" t="n">
        <f aca="false">INDEX(E16:E18,MATCH($B$13,$A$16:$A$18,0))</f>
        <v>1</v>
      </c>
    </row>
    <row r="21" customFormat="false" ht="15" hidden="false" customHeight="false" outlineLevel="0" collapsed="false">
      <c r="A21" s="3" t="s">
        <v>152</v>
      </c>
      <c r="B21" s="4"/>
      <c r="C21" s="4"/>
      <c r="D21" s="4"/>
      <c r="E21" s="4"/>
      <c r="F21" s="4"/>
    </row>
    <row r="22" customFormat="false" ht="24" hidden="false" customHeight="true" outlineLevel="0" collapsed="false">
      <c r="A22" s="11" t="s">
        <v>153</v>
      </c>
      <c r="B22" s="11" t="s">
        <v>87</v>
      </c>
      <c r="C22" s="11" t="s">
        <v>88</v>
      </c>
      <c r="D22" s="11" t="s">
        <v>89</v>
      </c>
      <c r="E22" s="11"/>
      <c r="F22" s="11" t="s">
        <v>154</v>
      </c>
    </row>
    <row r="23" customFormat="false" ht="15" hidden="false" customHeight="false" outlineLevel="0" collapsed="false">
      <c r="A23" s="6" t="s">
        <v>155</v>
      </c>
      <c r="B23" s="29" t="n">
        <f aca="false">Fundamentals!I6</f>
        <v>50503</v>
      </c>
      <c r="C23" s="29" t="n">
        <f aca="false">Fundamentals!I35</f>
        <v>89885</v>
      </c>
      <c r="D23" s="29" t="n">
        <f aca="false">Fundamentals!I64</f>
        <v>70415.7</v>
      </c>
      <c r="F23" s="2" t="s">
        <v>156</v>
      </c>
    </row>
    <row r="24" customFormat="false" ht="15" hidden="false" customHeight="false" outlineLevel="0" collapsed="false">
      <c r="A24" s="6" t="s">
        <v>157</v>
      </c>
      <c r="B24" s="29" t="n">
        <f aca="false">Fundamentals!I7</f>
        <v>26794</v>
      </c>
      <c r="C24" s="29" t="n">
        <f aca="false">Fundamentals!I36</f>
        <v>48694</v>
      </c>
      <c r="D24" s="29" t="n">
        <f aca="false">Fundamentals!I65</f>
        <v>64619.9</v>
      </c>
      <c r="F24" s="2" t="s">
        <v>158</v>
      </c>
    </row>
    <row r="25" customFormat="false" ht="15" hidden="false" customHeight="false" outlineLevel="0" collapsed="false">
      <c r="A25" s="6" t="s">
        <v>159</v>
      </c>
      <c r="B25" s="30" t="n">
        <f aca="false">$B$11</f>
        <v>1.15</v>
      </c>
      <c r="C25" s="30" t="n">
        <f aca="false">$B$12</f>
        <v>1.25</v>
      </c>
      <c r="D25" s="30" t="n">
        <v>1</v>
      </c>
      <c r="F25" s="2" t="s">
        <v>160</v>
      </c>
    </row>
    <row r="26" customFormat="false" ht="15" hidden="false" customHeight="false" outlineLevel="0" collapsed="false">
      <c r="A26" s="6" t="s">
        <v>161</v>
      </c>
      <c r="B26" s="31" t="n">
        <f aca="false">B23*B25</f>
        <v>58078.45</v>
      </c>
      <c r="C26" s="31" t="n">
        <f aca="false">C23*C25</f>
        <v>112356.25</v>
      </c>
      <c r="D26" s="31" t="n">
        <f aca="false">D23*D25</f>
        <v>70415.7</v>
      </c>
      <c r="F26" s="2"/>
    </row>
    <row r="27" customFormat="false" ht="15" hidden="false" customHeight="false" outlineLevel="0" collapsed="false">
      <c r="A27" s="6" t="s">
        <v>162</v>
      </c>
      <c r="B27" s="31" t="n">
        <f aca="false">B24*B25</f>
        <v>30813.1</v>
      </c>
      <c r="C27" s="31" t="n">
        <f aca="false">C24*C25</f>
        <v>60867.5</v>
      </c>
      <c r="D27" s="31" t="n">
        <f aca="false">D24*D25</f>
        <v>64619.9</v>
      </c>
      <c r="F27" s="2"/>
    </row>
    <row r="28" customFormat="false" ht="15" hidden="false" customHeight="false" outlineLevel="0" collapsed="false">
      <c r="A28" s="6" t="s">
        <v>163</v>
      </c>
      <c r="B28" s="24" t="n">
        <v>0.25</v>
      </c>
      <c r="C28" s="24" t="n">
        <v>0.15</v>
      </c>
      <c r="D28" s="24" t="n">
        <v>0.4</v>
      </c>
      <c r="F28" s="2" t="s">
        <v>164</v>
      </c>
    </row>
    <row r="29" customFormat="false" ht="15" hidden="false" customHeight="false" outlineLevel="0" collapsed="false">
      <c r="A29" s="6" t="s">
        <v>165</v>
      </c>
      <c r="B29" s="24" t="n">
        <v>0.03</v>
      </c>
      <c r="C29" s="24" t="n">
        <v>0.015</v>
      </c>
      <c r="D29" s="24" t="n">
        <v>0.3</v>
      </c>
      <c r="F29" s="2" t="s">
        <v>166</v>
      </c>
    </row>
    <row r="30" customFormat="false" ht="15" hidden="false" customHeight="false" outlineLevel="0" collapsed="false">
      <c r="A30" s="6" t="s">
        <v>167</v>
      </c>
      <c r="B30" s="24" t="n">
        <v>0.25</v>
      </c>
      <c r="C30" s="24" t="n">
        <v>0.25</v>
      </c>
      <c r="D30" s="24" t="n">
        <v>0.08</v>
      </c>
      <c r="F30" s="2" t="s">
        <v>168</v>
      </c>
    </row>
    <row r="31" customFormat="false" ht="15" hidden="false" customHeight="false" outlineLevel="0" collapsed="false">
      <c r="A31" s="6" t="s">
        <v>169</v>
      </c>
      <c r="B31" s="24" t="n">
        <v>0.03</v>
      </c>
      <c r="C31" s="24" t="n">
        <v>0.03</v>
      </c>
      <c r="D31" s="24" t="n">
        <v>0.05</v>
      </c>
      <c r="F31" s="2" t="s">
        <v>170</v>
      </c>
    </row>
    <row r="32" customFormat="false" ht="15" hidden="false" customHeight="false" outlineLevel="0" collapsed="false">
      <c r="A32" s="6" t="s">
        <v>171</v>
      </c>
      <c r="B32" s="24" t="n">
        <v>0.1</v>
      </c>
      <c r="C32" s="24" t="n">
        <v>0.1</v>
      </c>
      <c r="D32" s="24" t="n">
        <v>0.15</v>
      </c>
      <c r="F32" s="2" t="s">
        <v>172</v>
      </c>
    </row>
    <row r="33" customFormat="false" ht="15" hidden="false" customHeight="false" outlineLevel="0" collapsed="false">
      <c r="A33" s="6" t="s">
        <v>173</v>
      </c>
      <c r="B33" s="32" t="n">
        <v>0.005</v>
      </c>
      <c r="C33" s="32" t="n">
        <v>0.005</v>
      </c>
      <c r="D33" s="32" t="n">
        <v>0.01</v>
      </c>
      <c r="F33" s="2" t="s">
        <v>174</v>
      </c>
    </row>
    <row r="34" customFormat="false" ht="15" hidden="false" customHeight="false" outlineLevel="0" collapsed="false">
      <c r="A34" s="6" t="s">
        <v>175</v>
      </c>
      <c r="B34" s="33" t="n">
        <v>8</v>
      </c>
      <c r="C34" s="33" t="n">
        <v>7</v>
      </c>
      <c r="D34" s="33" t="n">
        <v>25</v>
      </c>
      <c r="F34" s="2" t="s">
        <v>176</v>
      </c>
    </row>
    <row r="35" customFormat="false" ht="15" hidden="false" customHeight="false" outlineLevel="0" collapsed="false">
      <c r="A35" s="6" t="s">
        <v>177</v>
      </c>
      <c r="B35" s="33" t="n">
        <v>3</v>
      </c>
      <c r="C35" s="33" t="n">
        <v>2.5</v>
      </c>
      <c r="D35" s="33" t="n">
        <v>10</v>
      </c>
      <c r="F35" s="2" t="s">
        <v>178</v>
      </c>
    </row>
    <row r="36" customFormat="false" ht="15" hidden="false" customHeight="false" outlineLevel="0" collapsed="false">
      <c r="A36" s="6" t="s">
        <v>179</v>
      </c>
      <c r="B36" s="33" t="n">
        <v>14</v>
      </c>
      <c r="C36" s="33" t="n">
        <v>12</v>
      </c>
      <c r="D36" s="33" t="n">
        <v>40</v>
      </c>
      <c r="F36" s="2" t="s">
        <v>180</v>
      </c>
    </row>
    <row r="37" customFormat="false" ht="15" hidden="false" customHeight="false" outlineLevel="0" collapsed="false">
      <c r="A37" s="6" t="s">
        <v>181</v>
      </c>
      <c r="B37" s="33" t="n">
        <v>4.5</v>
      </c>
      <c r="C37" s="33" t="n">
        <v>4</v>
      </c>
      <c r="D37" s="33" t="n">
        <v>14</v>
      </c>
      <c r="F37" s="2" t="s">
        <v>178</v>
      </c>
    </row>
    <row r="39" customFormat="false" ht="15" hidden="false" customHeight="false" outlineLevel="0" collapsed="false">
      <c r="A39" s="3" t="s">
        <v>182</v>
      </c>
      <c r="B39" s="4"/>
      <c r="C39" s="4"/>
      <c r="D39" s="4"/>
      <c r="E39" s="4"/>
      <c r="F39" s="4"/>
    </row>
    <row r="40" customFormat="false" ht="31.5" hidden="false" customHeight="true" outlineLevel="0" collapsed="false">
      <c r="A40" s="11" t="s">
        <v>153</v>
      </c>
      <c r="B40" s="11" t="s">
        <v>183</v>
      </c>
      <c r="C40" s="11" t="s">
        <v>184</v>
      </c>
      <c r="D40" s="11" t="s">
        <v>185</v>
      </c>
      <c r="E40" s="11"/>
      <c r="F40" s="11" t="s">
        <v>154</v>
      </c>
    </row>
    <row r="41" customFormat="false" ht="15" hidden="false" customHeight="false" outlineLevel="0" collapsed="false">
      <c r="A41" s="6" t="s">
        <v>186</v>
      </c>
      <c r="B41" s="34" t="n">
        <f aca="false">B10</f>
        <v>0.3</v>
      </c>
      <c r="C41" s="24" t="n">
        <v>0.8</v>
      </c>
      <c r="D41" s="24" t="n">
        <v>0.9</v>
      </c>
      <c r="F41" s="2" t="s">
        <v>187</v>
      </c>
    </row>
    <row r="42" customFormat="false" ht="15" hidden="false" customHeight="false" outlineLevel="0" collapsed="false">
      <c r="A42" s="6" t="s">
        <v>188</v>
      </c>
      <c r="B42" s="35" t="n">
        <v>1</v>
      </c>
      <c r="C42" s="35" t="n">
        <v>3</v>
      </c>
      <c r="D42" s="35" t="n">
        <v>4</v>
      </c>
    </row>
    <row r="43" customFormat="false" ht="15" hidden="false" customHeight="false" outlineLevel="0" collapsed="false">
      <c r="A43" s="6" t="s">
        <v>189</v>
      </c>
      <c r="B43" s="36" t="n">
        <v>0.6</v>
      </c>
      <c r="C43" s="37" t="n">
        <v>0.8</v>
      </c>
      <c r="D43" s="37" t="n">
        <v>0.9</v>
      </c>
      <c r="F43" s="2" t="s">
        <v>190</v>
      </c>
    </row>
    <row r="45" customFormat="false" ht="51.75" hidden="false" customHeight="true" outlineLevel="0" collapsed="false">
      <c r="A45" s="38" t="s">
        <v>191</v>
      </c>
      <c r="B45" s="38"/>
      <c r="C45" s="38"/>
      <c r="D45" s="38"/>
      <c r="E45" s="38"/>
      <c r="F45" s="38"/>
    </row>
  </sheetData>
  <mergeCells count="1">
    <mergeCell ref="A45:F45"/>
  </mergeCells>
  <dataValidations count="1">
    <dataValidation allowBlank="false" errorStyle="stop" operator="between" showDropDown="false" showErrorMessage="false" showInputMessage="false" sqref="B13" type="list">
      <formula1>"Base,Adverse,Severe"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6" t="s">
        <v>194</v>
      </c>
      <c r="B4" s="29" t="n">
        <f aca="false">Assumptions!B26</f>
        <v>58078.45</v>
      </c>
      <c r="D4" s="39" t="s">
        <v>195</v>
      </c>
      <c r="E4" s="13" t="str">
        <f aca="false">Assumptions!B13</f>
        <v>Base</v>
      </c>
    </row>
    <row r="5" customFormat="false" ht="15" hidden="false" customHeight="false" outlineLevel="0" collapsed="false">
      <c r="A5" s="6" t="s">
        <v>196</v>
      </c>
      <c r="B5" s="29" t="n">
        <f aca="false">Assumptions!B27</f>
        <v>30813.1</v>
      </c>
    </row>
    <row r="6" customFormat="false" ht="15" hidden="false" customHeight="false" outlineLevel="0" collapsed="false">
      <c r="A6" s="6" t="s">
        <v>197</v>
      </c>
      <c r="B6" s="19" t="n">
        <f aca="false">Assumptions!B28</f>
        <v>0.25</v>
      </c>
    </row>
    <row r="7" customFormat="false" ht="15" hidden="false" customHeight="false" outlineLevel="0" collapsed="false">
      <c r="A7" s="6" t="s">
        <v>198</v>
      </c>
      <c r="B7" s="19" t="n">
        <f aca="false">Assumptions!B29</f>
        <v>0.03</v>
      </c>
    </row>
    <row r="8" customFormat="false" ht="15" hidden="false" customHeight="false" outlineLevel="0" collapsed="false">
      <c r="A8" s="6" t="s">
        <v>199</v>
      </c>
      <c r="B8" s="19" t="n">
        <f aca="false">Assumptions!B30</f>
        <v>0.25</v>
      </c>
    </row>
    <row r="9" customFormat="false" ht="15" hidden="false" customHeight="false" outlineLevel="0" collapsed="false">
      <c r="A9" s="6" t="s">
        <v>200</v>
      </c>
      <c r="B9" s="20" t="n">
        <f aca="false">Assumptions!B31*Assumptions!$B$19</f>
        <v>0.03</v>
      </c>
    </row>
    <row r="10" customFormat="false" ht="15" hidden="false" customHeight="false" outlineLevel="0" collapsed="false">
      <c r="A10" s="6" t="s">
        <v>201</v>
      </c>
      <c r="B10" s="20" t="n">
        <f aca="false">Assumptions!B32*Assumptions!$C$19</f>
        <v>0.1</v>
      </c>
    </row>
    <row r="11" customFormat="false" ht="15" hidden="false" customHeight="false" outlineLevel="0" collapsed="false">
      <c r="A11" s="6" t="s">
        <v>202</v>
      </c>
      <c r="B11" s="20" t="n">
        <f aca="false">Assumptions!B33</f>
        <v>0.005</v>
      </c>
    </row>
    <row r="12" customFormat="false" ht="15" hidden="false" customHeight="false" outlineLevel="0" collapsed="false">
      <c r="A12" s="6" t="s">
        <v>203</v>
      </c>
      <c r="B12" s="19" t="n">
        <f aca="false">Assumptions!$B$7</f>
        <v>0.02</v>
      </c>
    </row>
    <row r="13" customFormat="false" ht="15" hidden="false" customHeight="false" outlineLevel="0" collapsed="false">
      <c r="A13" s="6" t="s">
        <v>204</v>
      </c>
      <c r="B13" s="19" t="n">
        <f aca="false">Assumptions!$B$8*Assumptions!$D$19</f>
        <v>0.06</v>
      </c>
    </row>
    <row r="14" customFormat="false" ht="15" hidden="false" customHeight="false" outlineLevel="0" collapsed="false">
      <c r="A14" s="6" t="s">
        <v>205</v>
      </c>
      <c r="B14" s="19" t="n">
        <f aca="false">Assumptions!$B$9</f>
        <v>0.3</v>
      </c>
    </row>
    <row r="15" customFormat="false" ht="15" hidden="false" customHeight="false" outlineLevel="0" collapsed="false">
      <c r="A15" s="6" t="s">
        <v>124</v>
      </c>
      <c r="B15" s="19" t="n">
        <f aca="false">Assumptions!$B$5</f>
        <v>0.08</v>
      </c>
    </row>
    <row r="16" customFormat="false" ht="15" hidden="false" customHeight="false" outlineLevel="0" collapsed="false">
      <c r="A16" s="6" t="s">
        <v>206</v>
      </c>
      <c r="B16" s="19" t="n">
        <f aca="false">Assumptions!$B$6</f>
        <v>0.02</v>
      </c>
    </row>
    <row r="17" customFormat="false" ht="15" hidden="false" customHeight="false" outlineLevel="0" collapsed="false">
      <c r="A17" s="6" t="s">
        <v>207</v>
      </c>
      <c r="B17" s="17" t="n">
        <f aca="false">Assumptions!$E$19</f>
        <v>1</v>
      </c>
    </row>
    <row r="18" customFormat="false" ht="15" hidden="false" customHeight="false" outlineLevel="0" collapsed="false">
      <c r="A18" s="6" t="s">
        <v>208</v>
      </c>
      <c r="B18" s="19" t="n">
        <f aca="false">Assumptions!$B$10</f>
        <v>0.3</v>
      </c>
    </row>
    <row r="20" customFormat="false" ht="15" hidden="false" customHeight="false" outlineLevel="0" collapsed="false">
      <c r="A20" s="11" t="s">
        <v>209</v>
      </c>
      <c r="B20" s="11" t="s">
        <v>210</v>
      </c>
      <c r="C20" s="11" t="s">
        <v>211</v>
      </c>
      <c r="D20" s="11" t="s">
        <v>212</v>
      </c>
      <c r="E20" s="11" t="s">
        <v>213</v>
      </c>
      <c r="F20" s="11" t="s">
        <v>214</v>
      </c>
    </row>
    <row r="21" customFormat="false" ht="15" hidden="false" customHeight="false" outlineLevel="0" collapsed="false">
      <c r="A21" s="10" t="s">
        <v>183</v>
      </c>
      <c r="B21" s="19" t="n">
        <f aca="false">Assumptions!B41</f>
        <v>0.3</v>
      </c>
      <c r="C21" s="40" t="n">
        <f aca="false">Assumptions!B42</f>
        <v>1</v>
      </c>
      <c r="D21" s="41" t="n">
        <f aca="false">Assumptions!B43</f>
        <v>0.6</v>
      </c>
      <c r="E21" s="42" t="n">
        <v>0</v>
      </c>
      <c r="F21" s="42" t="n">
        <v>0</v>
      </c>
    </row>
    <row r="22" customFormat="false" ht="15" hidden="false" customHeight="false" outlineLevel="0" collapsed="false">
      <c r="A22" s="10" t="s">
        <v>184</v>
      </c>
      <c r="B22" s="19" t="n">
        <f aca="false">Assumptions!C41</f>
        <v>0.8</v>
      </c>
      <c r="C22" s="40" t="n">
        <f aca="false">Assumptions!C42</f>
        <v>3</v>
      </c>
      <c r="D22" s="41" t="n">
        <f aca="false">Assumptions!C43</f>
        <v>0.8</v>
      </c>
      <c r="E22" s="14" t="n">
        <f aca="false">Assumptions!B34</f>
        <v>8</v>
      </c>
      <c r="F22" s="14" t="n">
        <f aca="false">Assumptions!B35</f>
        <v>3</v>
      </c>
    </row>
    <row r="23" customFormat="false" ht="15" hidden="false" customHeight="false" outlineLevel="0" collapsed="false">
      <c r="A23" s="10" t="s">
        <v>185</v>
      </c>
      <c r="B23" s="19" t="n">
        <f aca="false">Assumptions!D41</f>
        <v>0.9</v>
      </c>
      <c r="C23" s="40" t="n">
        <f aca="false">Assumptions!D42</f>
        <v>4</v>
      </c>
      <c r="D23" s="41" t="n">
        <f aca="false">Assumptions!D43</f>
        <v>0.9</v>
      </c>
      <c r="E23" s="14" t="n">
        <f aca="false">Assumptions!B36</f>
        <v>14</v>
      </c>
      <c r="F23" s="14" t="n">
        <f aca="false">Assumptions!B37</f>
        <v>4.5</v>
      </c>
    </row>
    <row r="26" customFormat="false" ht="15" hidden="false" customHeight="false" outlineLevel="0" collapsed="false">
      <c r="A26" s="43" t="s">
        <v>215</v>
      </c>
      <c r="B26" s="11" t="s">
        <v>215</v>
      </c>
      <c r="C26" s="11" t="n">
        <v>0</v>
      </c>
      <c r="D26" s="11" t="n">
        <v>1</v>
      </c>
      <c r="E26" s="11" t="n">
        <v>2</v>
      </c>
      <c r="F26" s="11" t="n">
        <v>3</v>
      </c>
      <c r="G26" s="11" t="n">
        <v>4</v>
      </c>
      <c r="H26" s="11" t="n">
        <v>5</v>
      </c>
      <c r="I26" s="11" t="n">
        <v>6</v>
      </c>
      <c r="J26" s="11" t="n">
        <v>7</v>
      </c>
    </row>
    <row r="27" customFormat="false" ht="15" hidden="false" customHeight="false" outlineLevel="0" collapsed="false">
      <c r="A27" s="6" t="s">
        <v>216</v>
      </c>
      <c r="B27" s="6"/>
      <c r="C27" s="44" t="n">
        <f aca="false">(1+$B$16)^C$26</f>
        <v>1</v>
      </c>
      <c r="D27" s="44" t="n">
        <f aca="false">(1+$B$16)^D$26</f>
        <v>1.02</v>
      </c>
      <c r="E27" s="44" t="n">
        <f aca="false">(1+$B$16)^E$26</f>
        <v>1.0404</v>
      </c>
      <c r="F27" s="44" t="n">
        <f aca="false">(1+$B$16)^F$26</f>
        <v>1.061208</v>
      </c>
      <c r="G27" s="44" t="n">
        <f aca="false">(1+$B$16)^G$26</f>
        <v>1.08243216</v>
      </c>
      <c r="H27" s="44" t="n">
        <f aca="false">(1+$B$16)^H$26</f>
        <v>1.1040808032</v>
      </c>
      <c r="I27" s="44" t="n">
        <f aca="false">(1+$B$16)^I$26</f>
        <v>1.126162419264</v>
      </c>
      <c r="J27" s="44" t="n">
        <f aca="false">(1+$B$16)^J$26</f>
        <v>1.14868566764928</v>
      </c>
    </row>
    <row r="28" customFormat="false" ht="15" hidden="false" customHeight="false" outlineLevel="0" collapsed="false">
      <c r="A28" s="6" t="s">
        <v>217</v>
      </c>
      <c r="B28" s="6"/>
      <c r="C28" s="31" t="n">
        <f aca="false">$B$4*C27</f>
        <v>58078.45</v>
      </c>
      <c r="D28" s="31" t="n">
        <f aca="false">$B$4*D27</f>
        <v>59240.019</v>
      </c>
      <c r="E28" s="31" t="n">
        <f aca="false">$B$4*E27</f>
        <v>60424.81938</v>
      </c>
      <c r="F28" s="31" t="n">
        <f aca="false">$B$4*F27</f>
        <v>61633.3157676</v>
      </c>
      <c r="G28" s="31" t="n">
        <f aca="false">$B$4*G27</f>
        <v>62865.982082952</v>
      </c>
      <c r="H28" s="31" t="n">
        <f aca="false">$B$4*H27</f>
        <v>64123.301724611</v>
      </c>
      <c r="I28" s="31" t="n">
        <f aca="false">$B$4*I27</f>
        <v>65405.7677591033</v>
      </c>
      <c r="J28" s="31" t="n">
        <f aca="false">$B$4*J27</f>
        <v>66713.8831142853</v>
      </c>
    </row>
    <row r="29" customFormat="false" ht="15" hidden="false" customHeight="false" outlineLevel="0" collapsed="false">
      <c r="A29" s="6" t="s">
        <v>218</v>
      </c>
      <c r="B29" s="6"/>
      <c r="C29" s="31" t="n">
        <f aca="false">$B$5*C27</f>
        <v>30813.1</v>
      </c>
      <c r="D29" s="31" t="n">
        <f aca="false">$B$5*D27</f>
        <v>31429.362</v>
      </c>
      <c r="E29" s="31" t="n">
        <f aca="false">$B$5*E27</f>
        <v>32057.94924</v>
      </c>
      <c r="F29" s="31" t="n">
        <f aca="false">$B$5*F27</f>
        <v>32699.1082248</v>
      </c>
      <c r="G29" s="31" t="n">
        <f aca="false">$B$5*G27</f>
        <v>33353.090389296</v>
      </c>
      <c r="H29" s="31" t="n">
        <f aca="false">$B$5*H27</f>
        <v>34020.1521970819</v>
      </c>
      <c r="I29" s="31" t="n">
        <f aca="false">$B$5*I27</f>
        <v>34700.5552410236</v>
      </c>
      <c r="J29" s="31" t="n">
        <f aca="false">$B$5*J27</f>
        <v>35394.566345844</v>
      </c>
    </row>
    <row r="30" customFormat="false" ht="15" hidden="false" customHeight="false" outlineLevel="0" collapsed="false">
      <c r="A30" s="6" t="s">
        <v>219</v>
      </c>
      <c r="B30" s="6"/>
      <c r="C30" s="44" t="n">
        <f aca="false">1/(1+$B$15)^C$26</f>
        <v>1</v>
      </c>
      <c r="D30" s="44" t="n">
        <f aca="false">1/(1+$B$15)^D$26</f>
        <v>0.925925925925926</v>
      </c>
      <c r="E30" s="44" t="n">
        <f aca="false">1/(1+$B$15)^E$26</f>
        <v>0.857338820301783</v>
      </c>
      <c r="F30" s="44" t="n">
        <f aca="false">1/(1+$B$15)^F$26</f>
        <v>0.79383224102017</v>
      </c>
      <c r="G30" s="44" t="n">
        <f aca="false">1/(1+$B$15)^G$26</f>
        <v>0.735029852796453</v>
      </c>
      <c r="H30" s="44" t="n">
        <f aca="false">1/(1+$B$15)^H$26</f>
        <v>0.680583197033753</v>
      </c>
      <c r="I30" s="44" t="n">
        <f aca="false">1/(1+$B$15)^I$26</f>
        <v>0.630169626883105</v>
      </c>
      <c r="J30" s="44" t="n">
        <f aca="false">1/(1+$B$15)^J$26</f>
        <v>0.583490395262134</v>
      </c>
    </row>
    <row r="31" customFormat="false" ht="15" hidden="false" customHeight="false" outlineLevel="0" collapsed="false">
      <c r="A31" s="6" t="s">
        <v>220</v>
      </c>
      <c r="B31" s="6"/>
      <c r="C31" s="45" t="n">
        <f aca="false">1</f>
        <v>1</v>
      </c>
      <c r="D31" s="45" t="n">
        <f aca="false">$B$17</f>
        <v>1</v>
      </c>
      <c r="E31" s="45" t="n">
        <f aca="false">$B$17</f>
        <v>1</v>
      </c>
      <c r="F31" s="45" t="n">
        <f aca="false">$B$17</f>
        <v>1</v>
      </c>
      <c r="G31" s="45" t="n">
        <f aca="false">$B$17</f>
        <v>1</v>
      </c>
      <c r="H31" s="45" t="n">
        <f aca="false">$B$17</f>
        <v>1</v>
      </c>
      <c r="I31" s="45" t="n">
        <f aca="false">$B$17</f>
        <v>1</v>
      </c>
      <c r="J31" s="45" t="n">
        <f aca="false">$B$17</f>
        <v>1</v>
      </c>
    </row>
    <row r="32" customFormat="false" ht="15" hidden="false" customHeight="false" outlineLevel="0" collapsed="false">
      <c r="A32" s="6" t="s">
        <v>221</v>
      </c>
      <c r="B32" s="6"/>
      <c r="C32" s="31" t="n">
        <f aca="false">C29*$B$7*C31</f>
        <v>924.393</v>
      </c>
      <c r="D32" s="31" t="n">
        <f aca="false">D29*$B$7*D31</f>
        <v>942.88086</v>
      </c>
      <c r="E32" s="31" t="n">
        <f aca="false">E29*$B$7*E31</f>
        <v>961.7384772</v>
      </c>
      <c r="F32" s="31" t="n">
        <f aca="false">F29*$B$7*F31</f>
        <v>980.973246744</v>
      </c>
      <c r="G32" s="31" t="n">
        <f aca="false">G29*$B$7*G31</f>
        <v>1000.59271167888</v>
      </c>
      <c r="H32" s="31" t="n">
        <f aca="false">H29*$B$7*H31</f>
        <v>1020.60456591246</v>
      </c>
      <c r="I32" s="31" t="n">
        <f aca="false">I29*$B$7*I31</f>
        <v>1041.01665723071</v>
      </c>
      <c r="J32" s="31" t="n">
        <f aca="false">J29*$B$7*J31</f>
        <v>1061.83699037532</v>
      </c>
    </row>
    <row r="34" customFormat="false" ht="15" hidden="false" customHeight="false" outlineLevel="0" collapsed="false">
      <c r="A34" s="3" t="s">
        <v>222</v>
      </c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false" outlineLevel="0" collapsed="false">
      <c r="A35" s="6" t="s">
        <v>223</v>
      </c>
      <c r="B35" s="6"/>
      <c r="C35" s="34" t="n">
        <f aca="false">$B$18</f>
        <v>0.3</v>
      </c>
      <c r="D35" s="34" t="n">
        <f aca="false">$B$18+($B$21-$B$18)*MIN(1,D$26/$C$21)</f>
        <v>0.3</v>
      </c>
      <c r="E35" s="34" t="n">
        <f aca="false">$B$18+($B$21-$B$18)*MIN(1,E$26/$C$21)</f>
        <v>0.3</v>
      </c>
      <c r="F35" s="34" t="n">
        <f aca="false">$B$18+($B$21-$B$18)*MIN(1,F$26/$C$21)</f>
        <v>0.3</v>
      </c>
      <c r="G35" s="34" t="n">
        <f aca="false">$B$18+($B$21-$B$18)*MIN(1,G$26/$C$21)</f>
        <v>0.3</v>
      </c>
      <c r="H35" s="34" t="n">
        <f aca="false">$B$18+($B$21-$B$18)*MIN(1,H$26/$C$21)</f>
        <v>0.3</v>
      </c>
      <c r="I35" s="34" t="n">
        <f aca="false">$B$18+($B$21-$B$18)*MIN(1,I$26/$C$21)</f>
        <v>0.3</v>
      </c>
      <c r="J35" s="34" t="n">
        <f aca="false">$B$18+($B$21-$B$18)*MIN(1,J$26/$C$21)</f>
        <v>0.3</v>
      </c>
    </row>
    <row r="36" customFormat="false" ht="15" hidden="false" customHeight="false" outlineLevel="0" collapsed="false">
      <c r="A36" s="6" t="s">
        <v>224</v>
      </c>
      <c r="B36" s="6"/>
      <c r="C36" s="34" t="n">
        <f aca="false">C35*$D$21</f>
        <v>0.18</v>
      </c>
      <c r="D36" s="34" t="n">
        <f aca="false">D35*$D$21</f>
        <v>0.18</v>
      </c>
      <c r="E36" s="34" t="n">
        <f aca="false">E35*$D$21</f>
        <v>0.18</v>
      </c>
      <c r="F36" s="34" t="n">
        <f aca="false">F35*$D$21</f>
        <v>0.18</v>
      </c>
      <c r="G36" s="34" t="n">
        <f aca="false">G35*$D$21</f>
        <v>0.18</v>
      </c>
      <c r="H36" s="34" t="n">
        <f aca="false">H35*$D$21</f>
        <v>0.18</v>
      </c>
      <c r="I36" s="34" t="n">
        <f aca="false">I35*$D$21</f>
        <v>0.18</v>
      </c>
      <c r="J36" s="34" t="n">
        <f aca="false">J35*$D$21</f>
        <v>0.18</v>
      </c>
    </row>
    <row r="37" customFormat="false" ht="15" hidden="false" customHeight="false" outlineLevel="0" collapsed="false">
      <c r="A37" s="6" t="s">
        <v>225</v>
      </c>
      <c r="B37" s="6"/>
      <c r="C37" s="42" t="n">
        <v>0</v>
      </c>
      <c r="D37" s="42" t="n">
        <f aca="false">$B$9*$B$12*$B$8*D$28*(1-D36)</f>
        <v>7.286522337</v>
      </c>
      <c r="E37" s="42" t="n">
        <f aca="false">$B$9*$B$12*$B$8*E$28*(1-E36)</f>
        <v>7.43225278374</v>
      </c>
      <c r="F37" s="42" t="n">
        <f aca="false">$B$9*$B$12*$B$8*F$28*(1-F36)</f>
        <v>7.5808978394148</v>
      </c>
      <c r="G37" s="42" t="n">
        <f aca="false">$B$9*$B$12*$B$8*G$28*(1-G36)</f>
        <v>7.7325157962031</v>
      </c>
      <c r="H37" s="42" t="n">
        <f aca="false">$B$9*$B$12*$B$8*H$28*(1-H36)</f>
        <v>7.88716611212716</v>
      </c>
      <c r="I37" s="42" t="n">
        <f aca="false">$B$9*$B$12*$B$8*I$28*(1-I36)</f>
        <v>8.0449094343697</v>
      </c>
      <c r="J37" s="42" t="n">
        <f aca="false">$B$9*$B$12*$B$8*J$28*(1-J36)</f>
        <v>8.2058076230571</v>
      </c>
    </row>
    <row r="38" customFormat="false" ht="15" hidden="false" customHeight="false" outlineLevel="0" collapsed="false">
      <c r="A38" s="6" t="s">
        <v>226</v>
      </c>
      <c r="B38" s="6"/>
      <c r="C38" s="42" t="n">
        <v>0</v>
      </c>
      <c r="D38" s="42" t="n">
        <f aca="false">D$32*$B$8*(1-D35)*$B$14*$B$13</f>
        <v>2.970074709</v>
      </c>
      <c r="E38" s="42" t="n">
        <f aca="false">E$32*$B$8*(1-E35)*$B$14*$B$13</f>
        <v>3.02947620318</v>
      </c>
      <c r="F38" s="42" t="n">
        <f aca="false">F$32*$B$8*(1-F35)*$B$14*$B$13</f>
        <v>3.0900657272436</v>
      </c>
      <c r="G38" s="42" t="n">
        <f aca="false">G$32*$B$8*(1-G35)*$B$14*$B$13</f>
        <v>3.15186704178847</v>
      </c>
      <c r="H38" s="42" t="n">
        <f aca="false">H$32*$B$8*(1-H35)*$B$14*$B$13</f>
        <v>3.21490438262424</v>
      </c>
      <c r="I38" s="42" t="n">
        <f aca="false">I$32*$B$8*(1-I35)*$B$14*$B$13</f>
        <v>3.27920247027673</v>
      </c>
      <c r="J38" s="42" t="n">
        <f aca="false">J$32*$B$8*(1-J35)*$B$14*$B$13</f>
        <v>3.34478651968226</v>
      </c>
    </row>
    <row r="39" customFormat="false" ht="15" hidden="false" customHeight="false" outlineLevel="0" collapsed="false">
      <c r="A39" s="6" t="s">
        <v>227</v>
      </c>
      <c r="B39" s="6"/>
      <c r="C39" s="42" t="n">
        <v>0</v>
      </c>
      <c r="D39" s="42" t="n">
        <f aca="false">$B$10*$B$11*$B$6*D$28*(1-D36)</f>
        <v>6.0721019475</v>
      </c>
      <c r="E39" s="42" t="n">
        <f aca="false">$B$10*$B$11*$B$6*E$28*(1-E36)</f>
        <v>6.19354398645</v>
      </c>
      <c r="F39" s="42" t="n">
        <f aca="false">$B$10*$B$11*$B$6*F$28*(1-F36)</f>
        <v>6.317414866179</v>
      </c>
      <c r="G39" s="42" t="n">
        <f aca="false">$B$10*$B$11*$B$6*G$28*(1-G36)</f>
        <v>6.44376316350258</v>
      </c>
      <c r="H39" s="42" t="n">
        <f aca="false">$B$10*$B$11*$B$6*H$28*(1-H36)</f>
        <v>6.57263842677263</v>
      </c>
      <c r="I39" s="42" t="n">
        <f aca="false">$B$10*$B$11*$B$6*I$28*(1-I36)</f>
        <v>6.70409119530809</v>
      </c>
      <c r="J39" s="42" t="n">
        <f aca="false">$B$10*$B$11*$B$6*J$28*(1-J36)</f>
        <v>6.83817301921425</v>
      </c>
    </row>
    <row r="40" customFormat="false" ht="15" hidden="false" customHeight="false" outlineLevel="0" collapsed="false">
      <c r="A40" s="6" t="s">
        <v>228</v>
      </c>
      <c r="B40" s="6"/>
      <c r="C40" s="42" t="n">
        <v>0</v>
      </c>
      <c r="D40" s="42" t="n">
        <f aca="false">$F$21*D$27</f>
        <v>0</v>
      </c>
      <c r="E40" s="42" t="n">
        <f aca="false">$F$21*E$27</f>
        <v>0</v>
      </c>
      <c r="F40" s="42" t="n">
        <f aca="false">$F$21*F$27</f>
        <v>0</v>
      </c>
      <c r="G40" s="42" t="n">
        <f aca="false">$F$21*G$27</f>
        <v>0</v>
      </c>
      <c r="H40" s="42" t="n">
        <f aca="false">$F$21*H$27</f>
        <v>0</v>
      </c>
      <c r="I40" s="42" t="n">
        <f aca="false">$F$21*I$27</f>
        <v>0</v>
      </c>
      <c r="J40" s="42" t="n">
        <f aca="false">$F$21*J$27</f>
        <v>0</v>
      </c>
    </row>
    <row r="41" customFormat="false" ht="15" hidden="false" customHeight="false" outlineLevel="0" collapsed="false">
      <c r="A41" s="6" t="s">
        <v>229</v>
      </c>
      <c r="B41" s="6"/>
      <c r="C41" s="42" t="n">
        <f aca="false">$E$21</f>
        <v>0</v>
      </c>
      <c r="D41" s="42" t="n">
        <v>0</v>
      </c>
      <c r="E41" s="42" t="n">
        <v>0</v>
      </c>
      <c r="F41" s="42" t="n">
        <v>0</v>
      </c>
      <c r="G41" s="42" t="n">
        <v>0</v>
      </c>
      <c r="H41" s="42" t="n">
        <v>0</v>
      </c>
      <c r="I41" s="42" t="n">
        <v>0</v>
      </c>
      <c r="J41" s="42" t="n">
        <v>0</v>
      </c>
    </row>
    <row r="42" customFormat="false" ht="15" hidden="false" customHeight="false" outlineLevel="0" collapsed="false">
      <c r="A42" s="6" t="s">
        <v>230</v>
      </c>
      <c r="B42" s="6"/>
      <c r="C42" s="46" t="n">
        <f aca="false">SUM(C37:C41)</f>
        <v>0</v>
      </c>
      <c r="D42" s="46" t="n">
        <f aca="false">SUM(D37:D41)</f>
        <v>16.3286989935</v>
      </c>
      <c r="E42" s="46" t="n">
        <f aca="false">SUM(E37:E41)</f>
        <v>16.65527297337</v>
      </c>
      <c r="F42" s="46" t="n">
        <f aca="false">SUM(F37:F41)</f>
        <v>16.9883784328374</v>
      </c>
      <c r="G42" s="46" t="n">
        <f aca="false">SUM(G37:G41)</f>
        <v>17.3281460014941</v>
      </c>
      <c r="H42" s="46" t="n">
        <f aca="false">SUM(H37:H41)</f>
        <v>17.674708921524</v>
      </c>
      <c r="I42" s="46" t="n">
        <f aca="false">SUM(I37:I41)</f>
        <v>18.0282030999545</v>
      </c>
      <c r="J42" s="46" t="n">
        <f aca="false">SUM(J37:J41)</f>
        <v>18.3887671619536</v>
      </c>
    </row>
    <row r="43" customFormat="false" ht="15" hidden="false" customHeight="false" outlineLevel="0" collapsed="false">
      <c r="A43" s="6" t="s">
        <v>231</v>
      </c>
      <c r="B43" s="6"/>
      <c r="C43" s="42" t="n">
        <f aca="false">C42*C$30</f>
        <v>0</v>
      </c>
      <c r="D43" s="42" t="n">
        <f aca="false">D42*D$30</f>
        <v>15.1191657347222</v>
      </c>
      <c r="E43" s="42" t="n">
        <f aca="false">E42*E$30</f>
        <v>14.2792120827932</v>
      </c>
      <c r="F43" s="42" t="n">
        <f aca="false">F42*F$30</f>
        <v>13.485922522638</v>
      </c>
      <c r="G43" s="42" t="n">
        <f aca="false">G42*G$30</f>
        <v>12.7367046047137</v>
      </c>
      <c r="H43" s="42" t="n">
        <f aca="false">H42*H$30</f>
        <v>12.0291099044518</v>
      </c>
      <c r="I43" s="42" t="n">
        <f aca="false">I42*I$30</f>
        <v>11.3608260208712</v>
      </c>
      <c r="J43" s="42" t="n">
        <f aca="false">J42*J$30</f>
        <v>10.7296690197117</v>
      </c>
    </row>
    <row r="45" customFormat="false" ht="15" hidden="false" customHeight="false" outlineLevel="0" collapsed="false">
      <c r="A45" s="3" t="s">
        <v>232</v>
      </c>
      <c r="B45" s="4"/>
      <c r="C45" s="4"/>
      <c r="D45" s="4"/>
      <c r="E45" s="4"/>
      <c r="F45" s="4"/>
      <c r="G45" s="4"/>
      <c r="H45" s="4"/>
      <c r="I45" s="4"/>
      <c r="J45" s="4"/>
    </row>
    <row r="46" customFormat="false" ht="15" hidden="false" customHeight="false" outlineLevel="0" collapsed="false">
      <c r="A46" s="6" t="s">
        <v>223</v>
      </c>
      <c r="B46" s="6"/>
      <c r="C46" s="34" t="n">
        <f aca="false">$B$18</f>
        <v>0.3</v>
      </c>
      <c r="D46" s="34" t="n">
        <f aca="false">$B$18+($B$22-$B$18)*MIN(1,D$26/$C$22)</f>
        <v>0.466666666666667</v>
      </c>
      <c r="E46" s="34" t="n">
        <f aca="false">$B$18+($B$22-$B$18)*MIN(1,E$26/$C$22)</f>
        <v>0.633333333333333</v>
      </c>
      <c r="F46" s="34" t="n">
        <f aca="false">$B$18+($B$22-$B$18)*MIN(1,F$26/$C$22)</f>
        <v>0.8</v>
      </c>
      <c r="G46" s="34" t="n">
        <f aca="false">$B$18+($B$22-$B$18)*MIN(1,G$26/$C$22)</f>
        <v>0.8</v>
      </c>
      <c r="H46" s="34" t="n">
        <f aca="false">$B$18+($B$22-$B$18)*MIN(1,H$26/$C$22)</f>
        <v>0.8</v>
      </c>
      <c r="I46" s="34" t="n">
        <f aca="false">$B$18+($B$22-$B$18)*MIN(1,I$26/$C$22)</f>
        <v>0.8</v>
      </c>
      <c r="J46" s="34" t="n">
        <f aca="false">$B$18+($B$22-$B$18)*MIN(1,J$26/$C$22)</f>
        <v>0.8</v>
      </c>
    </row>
    <row r="47" customFormat="false" ht="15" hidden="false" customHeight="false" outlineLevel="0" collapsed="false">
      <c r="A47" s="6" t="s">
        <v>224</v>
      </c>
      <c r="B47" s="6"/>
      <c r="C47" s="34" t="n">
        <f aca="false">C46*$D$22</f>
        <v>0.24</v>
      </c>
      <c r="D47" s="34" t="n">
        <f aca="false">D46*$D$22</f>
        <v>0.373333333333333</v>
      </c>
      <c r="E47" s="34" t="n">
        <f aca="false">E46*$D$22</f>
        <v>0.506666666666667</v>
      </c>
      <c r="F47" s="34" t="n">
        <f aca="false">F46*$D$22</f>
        <v>0.64</v>
      </c>
      <c r="G47" s="34" t="n">
        <f aca="false">G46*$D$22</f>
        <v>0.64</v>
      </c>
      <c r="H47" s="34" t="n">
        <f aca="false">H46*$D$22</f>
        <v>0.64</v>
      </c>
      <c r="I47" s="34" t="n">
        <f aca="false">I46*$D$22</f>
        <v>0.64</v>
      </c>
      <c r="J47" s="34" t="n">
        <f aca="false">J46*$D$22</f>
        <v>0.64</v>
      </c>
    </row>
    <row r="48" customFormat="false" ht="15" hidden="false" customHeight="false" outlineLevel="0" collapsed="false">
      <c r="A48" s="6" t="s">
        <v>225</v>
      </c>
      <c r="B48" s="6"/>
      <c r="C48" s="42" t="n">
        <v>0</v>
      </c>
      <c r="D48" s="42" t="n">
        <f aca="false">$B$9*$B$12*$B$8*D$28*(1-D47)</f>
        <v>5.568561786</v>
      </c>
      <c r="E48" s="42" t="n">
        <f aca="false">$B$9*$B$12*$B$8*E$28*(1-E47)</f>
        <v>4.47143663412</v>
      </c>
      <c r="F48" s="42" t="n">
        <f aca="false">$B$9*$B$12*$B$8*F$28*(1-F47)</f>
        <v>3.3281990514504</v>
      </c>
      <c r="G48" s="42" t="n">
        <f aca="false">$B$9*$B$12*$B$8*G$28*(1-G47)</f>
        <v>3.39476303247941</v>
      </c>
      <c r="H48" s="42" t="n">
        <f aca="false">$B$9*$B$12*$B$8*H$28*(1-H47)</f>
        <v>3.462658293129</v>
      </c>
      <c r="I48" s="42" t="n">
        <f aca="false">$B$9*$B$12*$B$8*I$28*(1-I47)</f>
        <v>3.53191145899157</v>
      </c>
      <c r="J48" s="42" t="n">
        <f aca="false">$B$9*$B$12*$B$8*J$28*(1-J47)</f>
        <v>3.60254968817141</v>
      </c>
    </row>
    <row r="49" customFormat="false" ht="15" hidden="false" customHeight="false" outlineLevel="0" collapsed="false">
      <c r="A49" s="6" t="s">
        <v>226</v>
      </c>
      <c r="B49" s="6"/>
      <c r="C49" s="42" t="n">
        <v>0</v>
      </c>
      <c r="D49" s="42" t="n">
        <f aca="false">D$32*$B$8*(1-D46)*$B$14*$B$13</f>
        <v>2.262914064</v>
      </c>
      <c r="E49" s="42" t="n">
        <f aca="false">E$32*$B$8*(1-E46)*$B$14*$B$13</f>
        <v>1.58686848738</v>
      </c>
      <c r="F49" s="42" t="n">
        <f aca="false">F$32*$B$8*(1-F46)*$B$14*$B$13</f>
        <v>0.8828759220696</v>
      </c>
      <c r="G49" s="42" t="n">
        <f aca="false">G$32*$B$8*(1-G46)*$B$14*$B$13</f>
        <v>0.900533440510992</v>
      </c>
      <c r="H49" s="42" t="n">
        <f aca="false">H$32*$B$8*(1-H46)*$B$14*$B$13</f>
        <v>0.918544109321211</v>
      </c>
      <c r="I49" s="42" t="n">
        <f aca="false">I$32*$B$8*(1-I46)*$B$14*$B$13</f>
        <v>0.936914991507636</v>
      </c>
      <c r="J49" s="42" t="n">
        <f aca="false">J$32*$B$8*(1-J46)*$B$14*$B$13</f>
        <v>0.955653291337789</v>
      </c>
    </row>
    <row r="50" customFormat="false" ht="15" hidden="false" customHeight="false" outlineLevel="0" collapsed="false">
      <c r="A50" s="6" t="s">
        <v>227</v>
      </c>
      <c r="B50" s="6"/>
      <c r="C50" s="42" t="n">
        <v>0</v>
      </c>
      <c r="D50" s="42" t="n">
        <f aca="false">$B$10*$B$11*$B$6*D$28*(1-D47)</f>
        <v>4.640468155</v>
      </c>
      <c r="E50" s="42" t="n">
        <f aca="false">$B$10*$B$11*$B$6*E$28*(1-E47)</f>
        <v>3.7261971951</v>
      </c>
      <c r="F50" s="42" t="n">
        <f aca="false">$B$10*$B$11*$B$6*F$28*(1-F47)</f>
        <v>2.773499209542</v>
      </c>
      <c r="G50" s="42" t="n">
        <f aca="false">$B$10*$B$11*$B$6*G$28*(1-G47)</f>
        <v>2.82896919373284</v>
      </c>
      <c r="H50" s="42" t="n">
        <f aca="false">$B$10*$B$11*$B$6*H$28*(1-H47)</f>
        <v>2.8855485776075</v>
      </c>
      <c r="I50" s="42" t="n">
        <f aca="false">$B$10*$B$11*$B$6*I$28*(1-I47)</f>
        <v>2.94325954915965</v>
      </c>
      <c r="J50" s="42" t="n">
        <f aca="false">$B$10*$B$11*$B$6*J$28*(1-J47)</f>
        <v>3.00212474014284</v>
      </c>
    </row>
    <row r="51" customFormat="false" ht="15" hidden="false" customHeight="false" outlineLevel="0" collapsed="false">
      <c r="A51" s="6" t="s">
        <v>228</v>
      </c>
      <c r="B51" s="6"/>
      <c r="C51" s="42" t="n">
        <v>0</v>
      </c>
      <c r="D51" s="42" t="n">
        <f aca="false">$F$22*D$27</f>
        <v>3.06</v>
      </c>
      <c r="E51" s="42" t="n">
        <f aca="false">$F$22*E$27</f>
        <v>3.1212</v>
      </c>
      <c r="F51" s="42" t="n">
        <f aca="false">$F$22*F$27</f>
        <v>3.183624</v>
      </c>
      <c r="G51" s="42" t="n">
        <f aca="false">$F$22*G$27</f>
        <v>3.24729648</v>
      </c>
      <c r="H51" s="42" t="n">
        <f aca="false">$F$22*H$27</f>
        <v>3.3122424096</v>
      </c>
      <c r="I51" s="42" t="n">
        <f aca="false">$F$22*I$27</f>
        <v>3.378487257792</v>
      </c>
      <c r="J51" s="42" t="n">
        <f aca="false">$F$22*J$27</f>
        <v>3.44605700294784</v>
      </c>
    </row>
    <row r="52" customFormat="false" ht="15" hidden="false" customHeight="false" outlineLevel="0" collapsed="false">
      <c r="A52" s="6" t="s">
        <v>229</v>
      </c>
      <c r="B52" s="6"/>
      <c r="C52" s="42" t="n">
        <f aca="false">$E$22</f>
        <v>8</v>
      </c>
      <c r="D52" s="42" t="n">
        <v>0</v>
      </c>
      <c r="E52" s="42" t="n">
        <v>0</v>
      </c>
      <c r="F52" s="42" t="n">
        <v>0</v>
      </c>
      <c r="G52" s="42" t="n">
        <v>0</v>
      </c>
      <c r="H52" s="42" t="n">
        <v>0</v>
      </c>
      <c r="I52" s="42" t="n">
        <v>0</v>
      </c>
      <c r="J52" s="42" t="n">
        <v>0</v>
      </c>
    </row>
    <row r="53" customFormat="false" ht="15" hidden="false" customHeight="false" outlineLevel="0" collapsed="false">
      <c r="A53" s="6" t="s">
        <v>230</v>
      </c>
      <c r="B53" s="6"/>
      <c r="C53" s="46" t="n">
        <f aca="false">SUM(C48:C52)</f>
        <v>8</v>
      </c>
      <c r="D53" s="46" t="n">
        <f aca="false">SUM(D48:D52)</f>
        <v>15.531944005</v>
      </c>
      <c r="E53" s="46" t="n">
        <f aca="false">SUM(E48:E52)</f>
        <v>12.9057023166</v>
      </c>
      <c r="F53" s="46" t="n">
        <f aca="false">SUM(F48:F52)</f>
        <v>10.168198183062</v>
      </c>
      <c r="G53" s="46" t="n">
        <f aca="false">SUM(G48:G52)</f>
        <v>10.3715621467232</v>
      </c>
      <c r="H53" s="46" t="n">
        <f aca="false">SUM(H48:H52)</f>
        <v>10.5789933896577</v>
      </c>
      <c r="I53" s="46" t="n">
        <f aca="false">SUM(I48:I52)</f>
        <v>10.7905732574509</v>
      </c>
      <c r="J53" s="46" t="n">
        <f aca="false">SUM(J48:J52)</f>
        <v>11.0063847225999</v>
      </c>
    </row>
    <row r="54" customFormat="false" ht="15" hidden="false" customHeight="false" outlineLevel="0" collapsed="false">
      <c r="A54" s="6" t="s">
        <v>231</v>
      </c>
      <c r="B54" s="6"/>
      <c r="C54" s="42" t="n">
        <f aca="false">C53*C$30</f>
        <v>8</v>
      </c>
      <c r="D54" s="42" t="n">
        <f aca="false">D53*D$30</f>
        <v>14.3814296342593</v>
      </c>
      <c r="E54" s="42" t="n">
        <f aca="false">E53*E$30</f>
        <v>11.0645595992798</v>
      </c>
      <c r="F54" s="42" t="n">
        <f aca="false">F53*F$30</f>
        <v>8.07184355079732</v>
      </c>
      <c r="G54" s="42" t="n">
        <f aca="false">G53*G$30</f>
        <v>7.62340779797525</v>
      </c>
      <c r="H54" s="42" t="n">
        <f aca="false">H53*H$30</f>
        <v>7.19988514253218</v>
      </c>
      <c r="I54" s="42" t="n">
        <f aca="false">I53*I$30</f>
        <v>6.79989152350261</v>
      </c>
      <c r="J54" s="42" t="n">
        <f aca="false">J53*J$30</f>
        <v>6.42211977219691</v>
      </c>
    </row>
    <row r="56" customFormat="false" ht="15" hidden="false" customHeight="false" outlineLevel="0" collapsed="false">
      <c r="A56" s="3" t="s">
        <v>233</v>
      </c>
      <c r="B56" s="4"/>
      <c r="C56" s="4"/>
      <c r="D56" s="4"/>
      <c r="E56" s="4"/>
      <c r="F56" s="4"/>
      <c r="G56" s="4"/>
      <c r="H56" s="4"/>
      <c r="I56" s="4"/>
      <c r="J56" s="4"/>
    </row>
    <row r="57" customFormat="false" ht="15" hidden="false" customHeight="false" outlineLevel="0" collapsed="false">
      <c r="A57" s="6" t="s">
        <v>223</v>
      </c>
      <c r="B57" s="6"/>
      <c r="C57" s="34" t="n">
        <f aca="false">$B$18</f>
        <v>0.3</v>
      </c>
      <c r="D57" s="34" t="n">
        <f aca="false">$B$18+($B$23-$B$18)*MIN(1,D$26/$C$23)</f>
        <v>0.45</v>
      </c>
      <c r="E57" s="34" t="n">
        <f aca="false">$B$18+($B$23-$B$18)*MIN(1,E$26/$C$23)</f>
        <v>0.6</v>
      </c>
      <c r="F57" s="34" t="n">
        <f aca="false">$B$18+($B$23-$B$18)*MIN(1,F$26/$C$23)</f>
        <v>0.75</v>
      </c>
      <c r="G57" s="34" t="n">
        <f aca="false">$B$18+($B$23-$B$18)*MIN(1,G$26/$C$23)</f>
        <v>0.9</v>
      </c>
      <c r="H57" s="34" t="n">
        <f aca="false">$B$18+($B$23-$B$18)*MIN(1,H$26/$C$23)</f>
        <v>0.9</v>
      </c>
      <c r="I57" s="34" t="n">
        <f aca="false">$B$18+($B$23-$B$18)*MIN(1,I$26/$C$23)</f>
        <v>0.9</v>
      </c>
      <c r="J57" s="34" t="n">
        <f aca="false">$B$18+($B$23-$B$18)*MIN(1,J$26/$C$23)</f>
        <v>0.9</v>
      </c>
    </row>
    <row r="58" customFormat="false" ht="15" hidden="false" customHeight="false" outlineLevel="0" collapsed="false">
      <c r="A58" s="6" t="s">
        <v>224</v>
      </c>
      <c r="B58" s="6"/>
      <c r="C58" s="34" t="n">
        <f aca="false">C57*$D$23</f>
        <v>0.27</v>
      </c>
      <c r="D58" s="34" t="n">
        <f aca="false">D57*$D$23</f>
        <v>0.405</v>
      </c>
      <c r="E58" s="34" t="n">
        <f aca="false">E57*$D$23</f>
        <v>0.54</v>
      </c>
      <c r="F58" s="34" t="n">
        <f aca="false">F57*$D$23</f>
        <v>0.675</v>
      </c>
      <c r="G58" s="34" t="n">
        <f aca="false">G57*$D$23</f>
        <v>0.81</v>
      </c>
      <c r="H58" s="34" t="n">
        <f aca="false">H57*$D$23</f>
        <v>0.81</v>
      </c>
      <c r="I58" s="34" t="n">
        <f aca="false">I57*$D$23</f>
        <v>0.81</v>
      </c>
      <c r="J58" s="34" t="n">
        <f aca="false">J57*$D$23</f>
        <v>0.81</v>
      </c>
    </row>
    <row r="59" customFormat="false" ht="15" hidden="false" customHeight="false" outlineLevel="0" collapsed="false">
      <c r="A59" s="6" t="s">
        <v>225</v>
      </c>
      <c r="B59" s="6"/>
      <c r="C59" s="42" t="n">
        <v>0</v>
      </c>
      <c r="D59" s="42" t="n">
        <f aca="false">$B$9*$B$12*$B$8*D$28*(1-D58)</f>
        <v>5.28717169575</v>
      </c>
      <c r="E59" s="42" t="n">
        <f aca="false">$B$9*$B$12*$B$8*E$28*(1-E58)</f>
        <v>4.16931253722</v>
      </c>
      <c r="F59" s="42" t="n">
        <f aca="false">$B$9*$B$12*$B$8*F$28*(1-F58)</f>
        <v>3.0046241436705</v>
      </c>
      <c r="G59" s="42" t="n">
        <f aca="false">$B$9*$B$12*$B$8*G$28*(1-G58)</f>
        <v>1.79168048936413</v>
      </c>
      <c r="H59" s="42" t="n">
        <f aca="false">$B$9*$B$12*$B$8*H$28*(1-H58)</f>
        <v>1.82751409915141</v>
      </c>
      <c r="I59" s="42" t="n">
        <f aca="false">$B$9*$B$12*$B$8*I$28*(1-I58)</f>
        <v>1.86406438113444</v>
      </c>
      <c r="J59" s="42" t="n">
        <f aca="false">$B$9*$B$12*$B$8*J$28*(1-J58)</f>
        <v>1.90134566875713</v>
      </c>
    </row>
    <row r="60" customFormat="false" ht="15" hidden="false" customHeight="false" outlineLevel="0" collapsed="false">
      <c r="A60" s="6" t="s">
        <v>226</v>
      </c>
      <c r="B60" s="6"/>
      <c r="C60" s="42" t="n">
        <v>0</v>
      </c>
      <c r="D60" s="42" t="n">
        <f aca="false">D$32*$B$8*(1-D57)*$B$14*$B$13</f>
        <v>2.3336301285</v>
      </c>
      <c r="E60" s="42" t="n">
        <f aca="false">E$32*$B$8*(1-E57)*$B$14*$B$13</f>
        <v>1.73112925896</v>
      </c>
      <c r="F60" s="42" t="n">
        <f aca="false">F$32*$B$8*(1-F57)*$B$14*$B$13</f>
        <v>1.103594902587</v>
      </c>
      <c r="G60" s="42" t="n">
        <f aca="false">G$32*$B$8*(1-G57)*$B$14*$B$13</f>
        <v>0.450266720255495</v>
      </c>
      <c r="H60" s="42" t="n">
        <f aca="false">H$32*$B$8*(1-H57)*$B$14*$B$13</f>
        <v>0.459272054660605</v>
      </c>
      <c r="I60" s="42" t="n">
        <f aca="false">I$32*$B$8*(1-I57)*$B$14*$B$13</f>
        <v>0.468457495753817</v>
      </c>
      <c r="J60" s="42" t="n">
        <f aca="false">J$32*$B$8*(1-J57)*$B$14*$B$13</f>
        <v>0.477826645668894</v>
      </c>
    </row>
    <row r="61" customFormat="false" ht="15" hidden="false" customHeight="false" outlineLevel="0" collapsed="false">
      <c r="A61" s="6" t="s">
        <v>227</v>
      </c>
      <c r="B61" s="6"/>
      <c r="C61" s="42" t="n">
        <v>0</v>
      </c>
      <c r="D61" s="42" t="n">
        <f aca="false">$B$10*$B$11*$B$6*D$28*(1-D58)</f>
        <v>4.405976413125</v>
      </c>
      <c r="E61" s="42" t="n">
        <f aca="false">$B$10*$B$11*$B$6*E$28*(1-E58)</f>
        <v>3.47442711435</v>
      </c>
      <c r="F61" s="42" t="n">
        <f aca="false">$B$10*$B$11*$B$6*F$28*(1-F58)</f>
        <v>2.50385345305875</v>
      </c>
      <c r="G61" s="42" t="n">
        <f aca="false">$B$10*$B$11*$B$6*G$28*(1-G58)</f>
        <v>1.49306707447011</v>
      </c>
      <c r="H61" s="42" t="n">
        <f aca="false">$B$10*$B$11*$B$6*H$28*(1-H58)</f>
        <v>1.52292841595951</v>
      </c>
      <c r="I61" s="42" t="n">
        <f aca="false">$B$10*$B$11*$B$6*I$28*(1-I58)</f>
        <v>1.5533869842787</v>
      </c>
      <c r="J61" s="42" t="n">
        <f aca="false">$B$10*$B$11*$B$6*J$28*(1-J58)</f>
        <v>1.58445472396428</v>
      </c>
    </row>
    <row r="62" customFormat="false" ht="15" hidden="false" customHeight="false" outlineLevel="0" collapsed="false">
      <c r="A62" s="6" t="s">
        <v>228</v>
      </c>
      <c r="B62" s="6"/>
      <c r="C62" s="42" t="n">
        <v>0</v>
      </c>
      <c r="D62" s="42" t="n">
        <f aca="false">$F$23*D$27</f>
        <v>4.59</v>
      </c>
      <c r="E62" s="42" t="n">
        <f aca="false">$F$23*E$27</f>
        <v>4.6818</v>
      </c>
      <c r="F62" s="42" t="n">
        <f aca="false">$F$23*F$27</f>
        <v>4.775436</v>
      </c>
      <c r="G62" s="42" t="n">
        <f aca="false">$F$23*G$27</f>
        <v>4.87094472</v>
      </c>
      <c r="H62" s="42" t="n">
        <f aca="false">$F$23*H$27</f>
        <v>4.9683636144</v>
      </c>
      <c r="I62" s="42" t="n">
        <f aca="false">$F$23*I$27</f>
        <v>5.067730886688</v>
      </c>
      <c r="J62" s="42" t="n">
        <f aca="false">$F$23*J$27</f>
        <v>5.16908550442176</v>
      </c>
    </row>
    <row r="63" customFormat="false" ht="15" hidden="false" customHeight="false" outlineLevel="0" collapsed="false">
      <c r="A63" s="6" t="s">
        <v>229</v>
      </c>
      <c r="B63" s="6"/>
      <c r="C63" s="42" t="n">
        <f aca="false">$E$23</f>
        <v>14</v>
      </c>
      <c r="D63" s="42" t="n">
        <v>0</v>
      </c>
      <c r="E63" s="42" t="n">
        <v>0</v>
      </c>
      <c r="F63" s="42" t="n">
        <v>0</v>
      </c>
      <c r="G63" s="42" t="n">
        <v>0</v>
      </c>
      <c r="H63" s="42" t="n">
        <v>0</v>
      </c>
      <c r="I63" s="42" t="n">
        <v>0</v>
      </c>
      <c r="J63" s="42" t="n">
        <v>0</v>
      </c>
    </row>
    <row r="64" customFormat="false" ht="15" hidden="false" customHeight="false" outlineLevel="0" collapsed="false">
      <c r="A64" s="6" t="s">
        <v>230</v>
      </c>
      <c r="B64" s="6"/>
      <c r="C64" s="46" t="n">
        <f aca="false">SUM(C59:C63)</f>
        <v>14</v>
      </c>
      <c r="D64" s="46" t="n">
        <f aca="false">SUM(D59:D63)</f>
        <v>16.616778237375</v>
      </c>
      <c r="E64" s="46" t="n">
        <f aca="false">SUM(E59:E63)</f>
        <v>14.05666891053</v>
      </c>
      <c r="F64" s="46" t="n">
        <f aca="false">SUM(F59:F63)</f>
        <v>11.3875084993163</v>
      </c>
      <c r="G64" s="46" t="n">
        <f aca="false">SUM(G59:G63)</f>
        <v>8.60595900408973</v>
      </c>
      <c r="H64" s="46" t="n">
        <f aca="false">SUM(H59:H63)</f>
        <v>8.77807818417153</v>
      </c>
      <c r="I64" s="46" t="n">
        <f aca="false">SUM(I59:I63)</f>
        <v>8.95363974785496</v>
      </c>
      <c r="J64" s="46" t="n">
        <f aca="false">SUM(J59:J63)</f>
        <v>9.13271254281206</v>
      </c>
    </row>
    <row r="65" customFormat="false" ht="15" hidden="false" customHeight="false" outlineLevel="0" collapsed="false">
      <c r="A65" s="6" t="s">
        <v>231</v>
      </c>
      <c r="B65" s="6"/>
      <c r="C65" s="42" t="n">
        <f aca="false">C64*C$30</f>
        <v>14</v>
      </c>
      <c r="D65" s="42" t="n">
        <f aca="false">D64*D$30</f>
        <v>15.3859057753472</v>
      </c>
      <c r="E65" s="42" t="n">
        <f aca="false">E64*E$30</f>
        <v>12.0513279411265</v>
      </c>
      <c r="F65" s="42" t="n">
        <f aca="false">F64*F$30</f>
        <v>9.03977139164845</v>
      </c>
      <c r="G65" s="42" t="n">
        <f aca="false">G64*G$30</f>
        <v>6.32563677994839</v>
      </c>
      <c r="H65" s="42" t="n">
        <f aca="false">H64*H$30</f>
        <v>5.9742125143957</v>
      </c>
      <c r="I65" s="42" t="n">
        <f aca="false">I64*I$30</f>
        <v>5.64231181915149</v>
      </c>
      <c r="J65" s="42" t="n">
        <f aca="false">J64*J$30</f>
        <v>5.32885005142086</v>
      </c>
    </row>
    <row r="68" customFormat="false" ht="15" hidden="false" customHeight="false" outlineLevel="0" collapsed="false">
      <c r="A68" s="3" t="s">
        <v>234</v>
      </c>
      <c r="B68" s="4"/>
      <c r="C68" s="4"/>
      <c r="D68" s="4"/>
      <c r="E68" s="4"/>
      <c r="F68" s="4"/>
      <c r="G68" s="4"/>
      <c r="H68" s="4"/>
      <c r="I68" s="4"/>
      <c r="J68" s="4"/>
    </row>
    <row r="69" customFormat="false" ht="43.5" hidden="false" customHeight="true" outlineLevel="0" collapsed="false">
      <c r="A69" s="11" t="s">
        <v>235</v>
      </c>
      <c r="B69" s="11" t="s">
        <v>236</v>
      </c>
      <c r="C69" s="11" t="s">
        <v>237</v>
      </c>
      <c r="D69" s="11" t="s">
        <v>238</v>
      </c>
      <c r="E69" s="11" t="s">
        <v>239</v>
      </c>
      <c r="F69" s="11" t="s">
        <v>240</v>
      </c>
      <c r="G69" s="11" t="s">
        <v>241</v>
      </c>
      <c r="H69" s="11" t="s">
        <v>242</v>
      </c>
      <c r="I69" s="11" t="s">
        <v>243</v>
      </c>
    </row>
    <row r="70" customFormat="false" ht="15" hidden="false" customHeight="false" outlineLevel="0" collapsed="false">
      <c r="A70" s="10" t="s">
        <v>183</v>
      </c>
      <c r="B70" s="42" t="n">
        <f aca="false">SUMPRODUCT((C37:J37+C38:J38+C39:J39)*$C$30:$J$30)</f>
        <v>89.7406098899018</v>
      </c>
      <c r="C70" s="42" t="n">
        <f aca="false">SUMPRODUCT((C40:J40+C41:J41)*$C$30:$J$30)</f>
        <v>0</v>
      </c>
      <c r="D70" s="42" t="n">
        <f aca="false">SUM(C43:J43)</f>
        <v>89.7406098899018</v>
      </c>
      <c r="E70" s="6"/>
      <c r="F70" s="6"/>
      <c r="G70" s="6"/>
      <c r="H70" s="6"/>
      <c r="I70" s="6"/>
    </row>
    <row r="71" customFormat="false" ht="15" hidden="false" customHeight="false" outlineLevel="0" collapsed="false">
      <c r="A71" s="10" t="s">
        <v>184</v>
      </c>
      <c r="B71" s="42" t="n">
        <f aca="false">SUMPRODUCT((C48:J48+C49:J49+C50:J50)*$C$30:$J$30)</f>
        <v>44.7457367872233</v>
      </c>
      <c r="C71" s="42" t="n">
        <f aca="false">SUMPRODUCT((C51:J51+C52:J52)*$C$30:$J$30)</f>
        <v>24.81740023332</v>
      </c>
      <c r="D71" s="42" t="n">
        <f aca="false">SUM(C54:J54)</f>
        <v>69.5631370205434</v>
      </c>
      <c r="E71" s="47" t="n">
        <f aca="false">$D$70-D71</f>
        <v>20.1774728693584</v>
      </c>
      <c r="F71" s="42" t="n">
        <f aca="false">$B$70-B71</f>
        <v>44.9948731026785</v>
      </c>
      <c r="G71" s="28" t="n">
        <f aca="false">IF(C71=0,0,F71/C71)</f>
        <v>1.81303733185831</v>
      </c>
      <c r="H71" s="48" t="n">
        <f aca="false">IFERROR(MAX(0,1-E71/SUMPRODUCT((C37:J37-C48:J48)*$C$30:$J$30)),0)</f>
        <v>0</v>
      </c>
      <c r="I71" s="49" t="n">
        <f aca="false">IF(MIN(C77:J77)=99,"&gt; 7",MIN(C77:J77))</f>
        <v>3</v>
      </c>
    </row>
    <row r="72" customFormat="false" ht="15" hidden="false" customHeight="false" outlineLevel="0" collapsed="false">
      <c r="A72" s="10" t="s">
        <v>185</v>
      </c>
      <c r="B72" s="42" t="n">
        <f aca="false">SUMPRODUCT((C59:J59+C60:J60+C61:J61)*$C$30:$J$30)</f>
        <v>34.5219159230586</v>
      </c>
      <c r="C72" s="42" t="n">
        <f aca="false">SUMPRODUCT((C62:J62+C63:J63)*$C$30:$J$30)</f>
        <v>39.2261003499801</v>
      </c>
      <c r="D72" s="42" t="n">
        <f aca="false">SUM(C65:J65)</f>
        <v>73.7480162730386</v>
      </c>
      <c r="E72" s="47" t="n">
        <f aca="false">$D$70-D72</f>
        <v>15.9925936168631</v>
      </c>
      <c r="F72" s="42" t="n">
        <f aca="false">$B$70-B72</f>
        <v>55.2186939668432</v>
      </c>
      <c r="G72" s="28" t="n">
        <f aca="false">IF(C72=0,0,F72/C72)</f>
        <v>1.40770286809485</v>
      </c>
      <c r="H72" s="48" t="n">
        <f aca="false">IFERROR(MAX(0,1-E72/SUMPRODUCT((C37:J37-C59:J59)*$C$30:$J$30)),0)</f>
        <v>0.343108073692524</v>
      </c>
      <c r="I72" s="49" t="n">
        <f aca="false">IF(MIN(C79:J79)=99,"&gt; 7",MIN(C79:J79))</f>
        <v>5</v>
      </c>
    </row>
    <row r="75" customFormat="false" ht="15" hidden="false" customHeight="false" outlineLevel="0" collapsed="false">
      <c r="A75" s="39" t="s">
        <v>244</v>
      </c>
    </row>
    <row r="76" customFormat="false" ht="15" hidden="false" customHeight="false" outlineLevel="0" collapsed="false">
      <c r="A76" s="6" t="s">
        <v>245</v>
      </c>
      <c r="B76" s="6"/>
      <c r="C76" s="42" t="n">
        <f aca="false">(C42-C53)*C$30</f>
        <v>-8</v>
      </c>
      <c r="D76" s="42" t="n">
        <f aca="false">(D42-D53)*D$30+C76</f>
        <v>-7.26226389953704</v>
      </c>
      <c r="E76" s="42" t="n">
        <f aca="false">(E42-E53)*E$30+D76</f>
        <v>-4.04761141602366</v>
      </c>
      <c r="F76" s="42" t="n">
        <f aca="false">(F42-F53)*F$30+E76</f>
        <v>1.36646755581705</v>
      </c>
      <c r="G76" s="42" t="n">
        <f aca="false">(G42-G53)*G$30+F76</f>
        <v>6.47976436255549</v>
      </c>
      <c r="H76" s="42" t="n">
        <f aca="false">(H42-H53)*H$30+G76</f>
        <v>11.3089891244751</v>
      </c>
      <c r="I76" s="42" t="n">
        <f aca="false">(I42-I53)*I$30+H76</f>
        <v>15.8699236218437</v>
      </c>
      <c r="J76" s="42" t="n">
        <f aca="false">(J42-J53)*J$30+I76</f>
        <v>20.1774728693584</v>
      </c>
    </row>
    <row r="77" customFormat="false" ht="15" hidden="false" customHeight="false" outlineLevel="0" collapsed="false">
      <c r="A77" s="6" t="s">
        <v>246</v>
      </c>
      <c r="B77" s="6"/>
      <c r="C77" s="50" t="n">
        <f aca="false">IF(C76&gt;=0,C$26,99)</f>
        <v>99</v>
      </c>
      <c r="D77" s="50" t="n">
        <f aca="false">IF(D76&gt;=0,D$26,99)</f>
        <v>99</v>
      </c>
      <c r="E77" s="50" t="n">
        <f aca="false">IF(E76&gt;=0,E$26,99)</f>
        <v>99</v>
      </c>
      <c r="F77" s="50" t="n">
        <f aca="false">IF(F76&gt;=0,F$26,99)</f>
        <v>3</v>
      </c>
      <c r="G77" s="50" t="n">
        <f aca="false">IF(G76&gt;=0,G$26,99)</f>
        <v>4</v>
      </c>
      <c r="H77" s="50" t="n">
        <f aca="false">IF(H76&gt;=0,H$26,99)</f>
        <v>5</v>
      </c>
      <c r="I77" s="50" t="n">
        <f aca="false">IF(I76&gt;=0,I$26,99)</f>
        <v>6</v>
      </c>
      <c r="J77" s="50" t="n">
        <f aca="false">IF(J76&gt;=0,J$26,99)</f>
        <v>7</v>
      </c>
    </row>
    <row r="78" customFormat="false" ht="15" hidden="false" customHeight="false" outlineLevel="0" collapsed="false">
      <c r="A78" s="6" t="s">
        <v>247</v>
      </c>
      <c r="B78" s="6"/>
      <c r="C78" s="42" t="n">
        <f aca="false">(C42-C64)*C$30</f>
        <v>-14</v>
      </c>
      <c r="D78" s="42" t="n">
        <f aca="false">(D42-D64)*D$30+C78</f>
        <v>-14.266740040625</v>
      </c>
      <c r="E78" s="42" t="n">
        <f aca="false">(E42-E64)*E$30+D78</f>
        <v>-12.0388558989583</v>
      </c>
      <c r="F78" s="42" t="n">
        <f aca="false">(F42-F64)*F$30+E78</f>
        <v>-7.59270476796875</v>
      </c>
      <c r="G78" s="42" t="n">
        <f aca="false">(G42-G64)*G$30+F78</f>
        <v>-1.18163694320344</v>
      </c>
      <c r="H78" s="42" t="n">
        <f aca="false">(H42-H64)*H$30+G78</f>
        <v>4.87326044685268</v>
      </c>
      <c r="I78" s="42" t="n">
        <f aca="false">(I42-I64)*I$30+H78</f>
        <v>10.5917746485724</v>
      </c>
      <c r="J78" s="42" t="n">
        <f aca="false">(J42-J64)*J$30+I78</f>
        <v>15.9925936168631</v>
      </c>
    </row>
    <row r="79" customFormat="false" ht="15" hidden="false" customHeight="false" outlineLevel="0" collapsed="false">
      <c r="A79" s="6" t="s">
        <v>246</v>
      </c>
      <c r="B79" s="6"/>
      <c r="C79" s="50" t="n">
        <f aca="false">IF(C78&gt;=0,C$26,99)</f>
        <v>99</v>
      </c>
      <c r="D79" s="50" t="n">
        <f aca="false">IF(D78&gt;=0,D$26,99)</f>
        <v>99</v>
      </c>
      <c r="E79" s="50" t="n">
        <f aca="false">IF(E78&gt;=0,E$26,99)</f>
        <v>99</v>
      </c>
      <c r="F79" s="50" t="n">
        <f aca="false">IF(F78&gt;=0,F$26,99)</f>
        <v>99</v>
      </c>
      <c r="G79" s="50" t="n">
        <f aca="false">IF(G78&gt;=0,G$26,99)</f>
        <v>99</v>
      </c>
      <c r="H79" s="50" t="n">
        <f aca="false">IF(H78&gt;=0,H$26,99)</f>
        <v>5</v>
      </c>
      <c r="I79" s="50" t="n">
        <f aca="false">IF(I78&gt;=0,I$26,99)</f>
        <v>6</v>
      </c>
      <c r="J79" s="50" t="n">
        <f aca="false">IF(J78&gt;=0,J$26,99)</f>
        <v>7</v>
      </c>
    </row>
    <row r="81" customFormat="false" ht="15" hidden="false" customHeight="false" outlineLevel="0" collapsed="false">
      <c r="A81" s="10" t="s">
        <v>248</v>
      </c>
      <c r="E81" s="47" t="n">
        <f aca="false">E72-E71</f>
        <v>-4.18487925249528</v>
      </c>
    </row>
    <row r="82" customFormat="false" ht="15" hidden="false" customHeight="false" outlineLevel="0" collapsed="false">
      <c r="A82" s="2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250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6" t="s">
        <v>194</v>
      </c>
      <c r="B4" s="29" t="n">
        <f aca="false">Assumptions!C26</f>
        <v>112356.25</v>
      </c>
      <c r="D4" s="39" t="s">
        <v>195</v>
      </c>
      <c r="E4" s="13" t="str">
        <f aca="false">Assumptions!B13</f>
        <v>Base</v>
      </c>
    </row>
    <row r="5" customFormat="false" ht="15" hidden="false" customHeight="false" outlineLevel="0" collapsed="false">
      <c r="A5" s="6" t="s">
        <v>196</v>
      </c>
      <c r="B5" s="29" t="n">
        <f aca="false">Assumptions!C27</f>
        <v>60867.5</v>
      </c>
    </row>
    <row r="6" customFormat="false" ht="15" hidden="false" customHeight="false" outlineLevel="0" collapsed="false">
      <c r="A6" s="6" t="s">
        <v>197</v>
      </c>
      <c r="B6" s="19" t="n">
        <f aca="false">Assumptions!C28</f>
        <v>0.15</v>
      </c>
    </row>
    <row r="7" customFormat="false" ht="15" hidden="false" customHeight="false" outlineLevel="0" collapsed="false">
      <c r="A7" s="6" t="s">
        <v>198</v>
      </c>
      <c r="B7" s="19" t="n">
        <f aca="false">Assumptions!C29</f>
        <v>0.015</v>
      </c>
    </row>
    <row r="8" customFormat="false" ht="15" hidden="false" customHeight="false" outlineLevel="0" collapsed="false">
      <c r="A8" s="6" t="s">
        <v>199</v>
      </c>
      <c r="B8" s="19" t="n">
        <f aca="false">Assumptions!C30</f>
        <v>0.25</v>
      </c>
    </row>
    <row r="9" customFormat="false" ht="15" hidden="false" customHeight="false" outlineLevel="0" collapsed="false">
      <c r="A9" s="6" t="s">
        <v>200</v>
      </c>
      <c r="B9" s="20" t="n">
        <f aca="false">Assumptions!C31*Assumptions!$B$19</f>
        <v>0.03</v>
      </c>
    </row>
    <row r="10" customFormat="false" ht="15" hidden="false" customHeight="false" outlineLevel="0" collapsed="false">
      <c r="A10" s="6" t="s">
        <v>201</v>
      </c>
      <c r="B10" s="20" t="n">
        <f aca="false">Assumptions!C32*Assumptions!$C$19</f>
        <v>0.1</v>
      </c>
    </row>
    <row r="11" customFormat="false" ht="15" hidden="false" customHeight="false" outlineLevel="0" collapsed="false">
      <c r="A11" s="6" t="s">
        <v>202</v>
      </c>
      <c r="B11" s="20" t="n">
        <f aca="false">Assumptions!C33</f>
        <v>0.005</v>
      </c>
    </row>
    <row r="12" customFormat="false" ht="15" hidden="false" customHeight="false" outlineLevel="0" collapsed="false">
      <c r="A12" s="6" t="s">
        <v>203</v>
      </c>
      <c r="B12" s="19" t="n">
        <f aca="false">Assumptions!$B$7</f>
        <v>0.02</v>
      </c>
    </row>
    <row r="13" customFormat="false" ht="15" hidden="false" customHeight="false" outlineLevel="0" collapsed="false">
      <c r="A13" s="6" t="s">
        <v>204</v>
      </c>
      <c r="B13" s="19" t="n">
        <f aca="false">Assumptions!$B$8*Assumptions!$D$19</f>
        <v>0.06</v>
      </c>
    </row>
    <row r="14" customFormat="false" ht="15" hidden="false" customHeight="false" outlineLevel="0" collapsed="false">
      <c r="A14" s="6" t="s">
        <v>205</v>
      </c>
      <c r="B14" s="19" t="n">
        <f aca="false">Assumptions!$B$9</f>
        <v>0.3</v>
      </c>
    </row>
    <row r="15" customFormat="false" ht="15" hidden="false" customHeight="false" outlineLevel="0" collapsed="false">
      <c r="A15" s="6" t="s">
        <v>124</v>
      </c>
      <c r="B15" s="19" t="n">
        <f aca="false">Assumptions!$B$5</f>
        <v>0.08</v>
      </c>
    </row>
    <row r="16" customFormat="false" ht="15" hidden="false" customHeight="false" outlineLevel="0" collapsed="false">
      <c r="A16" s="6" t="s">
        <v>206</v>
      </c>
      <c r="B16" s="19" t="n">
        <f aca="false">Assumptions!$B$6</f>
        <v>0.02</v>
      </c>
    </row>
    <row r="17" customFormat="false" ht="15" hidden="false" customHeight="false" outlineLevel="0" collapsed="false">
      <c r="A17" s="6" t="s">
        <v>207</v>
      </c>
      <c r="B17" s="17" t="n">
        <f aca="false">Assumptions!$E$19</f>
        <v>1</v>
      </c>
    </row>
    <row r="18" customFormat="false" ht="15" hidden="false" customHeight="false" outlineLevel="0" collapsed="false">
      <c r="A18" s="6" t="s">
        <v>208</v>
      </c>
      <c r="B18" s="19" t="n">
        <f aca="false">Assumptions!$B$10</f>
        <v>0.3</v>
      </c>
    </row>
    <row r="20" customFormat="false" ht="15" hidden="false" customHeight="false" outlineLevel="0" collapsed="false">
      <c r="A20" s="11" t="s">
        <v>209</v>
      </c>
      <c r="B20" s="11" t="s">
        <v>210</v>
      </c>
      <c r="C20" s="11" t="s">
        <v>211</v>
      </c>
      <c r="D20" s="11" t="s">
        <v>212</v>
      </c>
      <c r="E20" s="11" t="s">
        <v>213</v>
      </c>
      <c r="F20" s="11" t="s">
        <v>214</v>
      </c>
    </row>
    <row r="21" customFormat="false" ht="15" hidden="false" customHeight="false" outlineLevel="0" collapsed="false">
      <c r="A21" s="10" t="s">
        <v>183</v>
      </c>
      <c r="B21" s="19" t="n">
        <f aca="false">Assumptions!B41</f>
        <v>0.3</v>
      </c>
      <c r="C21" s="40" t="n">
        <f aca="false">Assumptions!B42</f>
        <v>1</v>
      </c>
      <c r="D21" s="41" t="n">
        <f aca="false">Assumptions!B43</f>
        <v>0.6</v>
      </c>
      <c r="E21" s="42" t="n">
        <v>0</v>
      </c>
      <c r="F21" s="42" t="n">
        <v>0</v>
      </c>
    </row>
    <row r="22" customFormat="false" ht="15" hidden="false" customHeight="false" outlineLevel="0" collapsed="false">
      <c r="A22" s="10" t="s">
        <v>184</v>
      </c>
      <c r="B22" s="19" t="n">
        <f aca="false">Assumptions!C41</f>
        <v>0.8</v>
      </c>
      <c r="C22" s="40" t="n">
        <f aca="false">Assumptions!C42</f>
        <v>3</v>
      </c>
      <c r="D22" s="41" t="n">
        <f aca="false">Assumptions!C43</f>
        <v>0.8</v>
      </c>
      <c r="E22" s="14" t="n">
        <f aca="false">Assumptions!C34</f>
        <v>7</v>
      </c>
      <c r="F22" s="14" t="n">
        <f aca="false">Assumptions!C35</f>
        <v>2.5</v>
      </c>
    </row>
    <row r="23" customFormat="false" ht="15" hidden="false" customHeight="false" outlineLevel="0" collapsed="false">
      <c r="A23" s="10" t="s">
        <v>185</v>
      </c>
      <c r="B23" s="19" t="n">
        <f aca="false">Assumptions!D41</f>
        <v>0.9</v>
      </c>
      <c r="C23" s="40" t="n">
        <f aca="false">Assumptions!D42</f>
        <v>4</v>
      </c>
      <c r="D23" s="41" t="n">
        <f aca="false">Assumptions!D43</f>
        <v>0.9</v>
      </c>
      <c r="E23" s="14" t="n">
        <f aca="false">Assumptions!C36</f>
        <v>12</v>
      </c>
      <c r="F23" s="14" t="n">
        <f aca="false">Assumptions!C37</f>
        <v>4</v>
      </c>
    </row>
    <row r="26" customFormat="false" ht="15" hidden="false" customHeight="false" outlineLevel="0" collapsed="false">
      <c r="A26" s="43" t="s">
        <v>215</v>
      </c>
      <c r="B26" s="11" t="s">
        <v>215</v>
      </c>
      <c r="C26" s="11" t="n">
        <v>0</v>
      </c>
      <c r="D26" s="11" t="n">
        <v>1</v>
      </c>
      <c r="E26" s="11" t="n">
        <v>2</v>
      </c>
      <c r="F26" s="11" t="n">
        <v>3</v>
      </c>
      <c r="G26" s="11" t="n">
        <v>4</v>
      </c>
      <c r="H26" s="11" t="n">
        <v>5</v>
      </c>
      <c r="I26" s="11" t="n">
        <v>6</v>
      </c>
      <c r="J26" s="11" t="n">
        <v>7</v>
      </c>
    </row>
    <row r="27" customFormat="false" ht="15" hidden="false" customHeight="false" outlineLevel="0" collapsed="false">
      <c r="A27" s="6" t="s">
        <v>216</v>
      </c>
      <c r="B27" s="6"/>
      <c r="C27" s="44" t="n">
        <f aca="false">(1+$B$16)^C$26</f>
        <v>1</v>
      </c>
      <c r="D27" s="44" t="n">
        <f aca="false">(1+$B$16)^D$26</f>
        <v>1.02</v>
      </c>
      <c r="E27" s="44" t="n">
        <f aca="false">(1+$B$16)^E$26</f>
        <v>1.0404</v>
      </c>
      <c r="F27" s="44" t="n">
        <f aca="false">(1+$B$16)^F$26</f>
        <v>1.061208</v>
      </c>
      <c r="G27" s="44" t="n">
        <f aca="false">(1+$B$16)^G$26</f>
        <v>1.08243216</v>
      </c>
      <c r="H27" s="44" t="n">
        <f aca="false">(1+$B$16)^H$26</f>
        <v>1.1040808032</v>
      </c>
      <c r="I27" s="44" t="n">
        <f aca="false">(1+$B$16)^I$26</f>
        <v>1.126162419264</v>
      </c>
      <c r="J27" s="44" t="n">
        <f aca="false">(1+$B$16)^J$26</f>
        <v>1.14868566764928</v>
      </c>
    </row>
    <row r="28" customFormat="false" ht="15" hidden="false" customHeight="false" outlineLevel="0" collapsed="false">
      <c r="A28" s="6" t="s">
        <v>217</v>
      </c>
      <c r="B28" s="6"/>
      <c r="C28" s="31" t="n">
        <f aca="false">$B$4*C27</f>
        <v>112356.25</v>
      </c>
      <c r="D28" s="31" t="n">
        <f aca="false">$B$4*D27</f>
        <v>114603.375</v>
      </c>
      <c r="E28" s="31" t="n">
        <f aca="false">$B$4*E27</f>
        <v>116895.4425</v>
      </c>
      <c r="F28" s="31" t="n">
        <f aca="false">$B$4*F27</f>
        <v>119233.35135</v>
      </c>
      <c r="G28" s="31" t="n">
        <f aca="false">$B$4*G27</f>
        <v>121618.018377</v>
      </c>
      <c r="H28" s="31" t="n">
        <f aca="false">$B$4*H27</f>
        <v>124050.37874454</v>
      </c>
      <c r="I28" s="31" t="n">
        <f aca="false">$B$4*I27</f>
        <v>126531.386319431</v>
      </c>
      <c r="J28" s="31" t="n">
        <f aca="false">$B$4*J27</f>
        <v>129062.014045819</v>
      </c>
    </row>
    <row r="29" customFormat="false" ht="15" hidden="false" customHeight="false" outlineLevel="0" collapsed="false">
      <c r="A29" s="6" t="s">
        <v>218</v>
      </c>
      <c r="B29" s="6"/>
      <c r="C29" s="31" t="n">
        <f aca="false">$B$5*C27</f>
        <v>60867.5</v>
      </c>
      <c r="D29" s="31" t="n">
        <f aca="false">$B$5*D27</f>
        <v>62084.85</v>
      </c>
      <c r="E29" s="31" t="n">
        <f aca="false">$B$5*E27</f>
        <v>63326.547</v>
      </c>
      <c r="F29" s="31" t="n">
        <f aca="false">$B$5*F27</f>
        <v>64593.07794</v>
      </c>
      <c r="G29" s="31" t="n">
        <f aca="false">$B$5*G27</f>
        <v>65884.9394988</v>
      </c>
      <c r="H29" s="31" t="n">
        <f aca="false">$B$5*H27</f>
        <v>67202.638288776</v>
      </c>
      <c r="I29" s="31" t="n">
        <f aca="false">$B$5*I27</f>
        <v>68546.6910545515</v>
      </c>
      <c r="J29" s="31" t="n">
        <f aca="false">$B$5*J27</f>
        <v>69917.6248756426</v>
      </c>
    </row>
    <row r="30" customFormat="false" ht="15" hidden="false" customHeight="false" outlineLevel="0" collapsed="false">
      <c r="A30" s="6" t="s">
        <v>219</v>
      </c>
      <c r="B30" s="6"/>
      <c r="C30" s="44" t="n">
        <f aca="false">1/(1+$B$15)^C$26</f>
        <v>1</v>
      </c>
      <c r="D30" s="44" t="n">
        <f aca="false">1/(1+$B$15)^D$26</f>
        <v>0.925925925925926</v>
      </c>
      <c r="E30" s="44" t="n">
        <f aca="false">1/(1+$B$15)^E$26</f>
        <v>0.857338820301783</v>
      </c>
      <c r="F30" s="44" t="n">
        <f aca="false">1/(1+$B$15)^F$26</f>
        <v>0.79383224102017</v>
      </c>
      <c r="G30" s="44" t="n">
        <f aca="false">1/(1+$B$15)^G$26</f>
        <v>0.735029852796453</v>
      </c>
      <c r="H30" s="44" t="n">
        <f aca="false">1/(1+$B$15)^H$26</f>
        <v>0.680583197033753</v>
      </c>
      <c r="I30" s="44" t="n">
        <f aca="false">1/(1+$B$15)^I$26</f>
        <v>0.630169626883105</v>
      </c>
      <c r="J30" s="44" t="n">
        <f aca="false">1/(1+$B$15)^J$26</f>
        <v>0.583490395262134</v>
      </c>
    </row>
    <row r="31" customFormat="false" ht="15" hidden="false" customHeight="false" outlineLevel="0" collapsed="false">
      <c r="A31" s="6" t="s">
        <v>220</v>
      </c>
      <c r="B31" s="6"/>
      <c r="C31" s="45" t="n">
        <f aca="false">1</f>
        <v>1</v>
      </c>
      <c r="D31" s="45" t="n">
        <f aca="false">$B$17</f>
        <v>1</v>
      </c>
      <c r="E31" s="45" t="n">
        <f aca="false">$B$17</f>
        <v>1</v>
      </c>
      <c r="F31" s="45" t="n">
        <f aca="false">$B$17</f>
        <v>1</v>
      </c>
      <c r="G31" s="45" t="n">
        <f aca="false">$B$17</f>
        <v>1</v>
      </c>
      <c r="H31" s="45" t="n">
        <f aca="false">$B$17</f>
        <v>1</v>
      </c>
      <c r="I31" s="45" t="n">
        <f aca="false">$B$17</f>
        <v>1</v>
      </c>
      <c r="J31" s="45" t="n">
        <f aca="false">$B$17</f>
        <v>1</v>
      </c>
    </row>
    <row r="32" customFormat="false" ht="15" hidden="false" customHeight="false" outlineLevel="0" collapsed="false">
      <c r="A32" s="6" t="s">
        <v>221</v>
      </c>
      <c r="B32" s="6"/>
      <c r="C32" s="31" t="n">
        <f aca="false">C29*$B$7*C31</f>
        <v>913.0125</v>
      </c>
      <c r="D32" s="31" t="n">
        <f aca="false">D29*$B$7*D31</f>
        <v>931.27275</v>
      </c>
      <c r="E32" s="31" t="n">
        <f aca="false">E29*$B$7*E31</f>
        <v>949.898205</v>
      </c>
      <c r="F32" s="31" t="n">
        <f aca="false">F29*$B$7*F31</f>
        <v>968.8961691</v>
      </c>
      <c r="G32" s="31" t="n">
        <f aca="false">G29*$B$7*G31</f>
        <v>988.274092482</v>
      </c>
      <c r="H32" s="31" t="n">
        <f aca="false">H29*$B$7*H31</f>
        <v>1008.03957433164</v>
      </c>
      <c r="I32" s="31" t="n">
        <f aca="false">I29*$B$7*I31</f>
        <v>1028.20036581827</v>
      </c>
      <c r="J32" s="31" t="n">
        <f aca="false">J29*$B$7*J31</f>
        <v>1048.76437313464</v>
      </c>
    </row>
    <row r="34" customFormat="false" ht="15" hidden="false" customHeight="false" outlineLevel="0" collapsed="false">
      <c r="A34" s="3" t="s">
        <v>222</v>
      </c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false" outlineLevel="0" collapsed="false">
      <c r="A35" s="6" t="s">
        <v>223</v>
      </c>
      <c r="B35" s="6"/>
      <c r="C35" s="34" t="n">
        <f aca="false">$B$18</f>
        <v>0.3</v>
      </c>
      <c r="D35" s="34" t="n">
        <f aca="false">$B$18+($B$21-$B$18)*MIN(1,D$26/$C$21)</f>
        <v>0.3</v>
      </c>
      <c r="E35" s="34" t="n">
        <f aca="false">$B$18+($B$21-$B$18)*MIN(1,E$26/$C$21)</f>
        <v>0.3</v>
      </c>
      <c r="F35" s="34" t="n">
        <f aca="false">$B$18+($B$21-$B$18)*MIN(1,F$26/$C$21)</f>
        <v>0.3</v>
      </c>
      <c r="G35" s="34" t="n">
        <f aca="false">$B$18+($B$21-$B$18)*MIN(1,G$26/$C$21)</f>
        <v>0.3</v>
      </c>
      <c r="H35" s="34" t="n">
        <f aca="false">$B$18+($B$21-$B$18)*MIN(1,H$26/$C$21)</f>
        <v>0.3</v>
      </c>
      <c r="I35" s="34" t="n">
        <f aca="false">$B$18+($B$21-$B$18)*MIN(1,I$26/$C$21)</f>
        <v>0.3</v>
      </c>
      <c r="J35" s="34" t="n">
        <f aca="false">$B$18+($B$21-$B$18)*MIN(1,J$26/$C$21)</f>
        <v>0.3</v>
      </c>
    </row>
    <row r="36" customFormat="false" ht="15" hidden="false" customHeight="false" outlineLevel="0" collapsed="false">
      <c r="A36" s="6" t="s">
        <v>224</v>
      </c>
      <c r="B36" s="6"/>
      <c r="C36" s="34" t="n">
        <f aca="false">C35*$D$21</f>
        <v>0.18</v>
      </c>
      <c r="D36" s="34" t="n">
        <f aca="false">D35*$D$21</f>
        <v>0.18</v>
      </c>
      <c r="E36" s="34" t="n">
        <f aca="false">E35*$D$21</f>
        <v>0.18</v>
      </c>
      <c r="F36" s="34" t="n">
        <f aca="false">F35*$D$21</f>
        <v>0.18</v>
      </c>
      <c r="G36" s="34" t="n">
        <f aca="false">G35*$D$21</f>
        <v>0.18</v>
      </c>
      <c r="H36" s="34" t="n">
        <f aca="false">H35*$D$21</f>
        <v>0.18</v>
      </c>
      <c r="I36" s="34" t="n">
        <f aca="false">I35*$D$21</f>
        <v>0.18</v>
      </c>
      <c r="J36" s="34" t="n">
        <f aca="false">J35*$D$21</f>
        <v>0.18</v>
      </c>
    </row>
    <row r="37" customFormat="false" ht="15" hidden="false" customHeight="false" outlineLevel="0" collapsed="false">
      <c r="A37" s="6" t="s">
        <v>225</v>
      </c>
      <c r="B37" s="6"/>
      <c r="C37" s="42" t="n">
        <v>0</v>
      </c>
      <c r="D37" s="42" t="n">
        <f aca="false">$B$9*$B$12*$B$8*D$28*(1-D36)</f>
        <v>14.096215125</v>
      </c>
      <c r="E37" s="42" t="n">
        <f aca="false">$B$9*$B$12*$B$8*E$28*(1-E36)</f>
        <v>14.3781394275</v>
      </c>
      <c r="F37" s="42" t="n">
        <f aca="false">$B$9*$B$12*$B$8*F$28*(1-F36)</f>
        <v>14.66570221605</v>
      </c>
      <c r="G37" s="42" t="n">
        <f aca="false">$B$9*$B$12*$B$8*G$28*(1-G36)</f>
        <v>14.959016260371</v>
      </c>
      <c r="H37" s="42" t="n">
        <f aca="false">$B$9*$B$12*$B$8*H$28*(1-H36)</f>
        <v>15.2581965855784</v>
      </c>
      <c r="I37" s="42" t="n">
        <f aca="false">$B$9*$B$12*$B$8*I$28*(1-I36)</f>
        <v>15.56336051729</v>
      </c>
      <c r="J37" s="42" t="n">
        <f aca="false">$B$9*$B$12*$B$8*J$28*(1-J36)</f>
        <v>15.8746277276358</v>
      </c>
    </row>
    <row r="38" customFormat="false" ht="15" hidden="false" customHeight="false" outlineLevel="0" collapsed="false">
      <c r="A38" s="6" t="s">
        <v>226</v>
      </c>
      <c r="B38" s="6"/>
      <c r="C38" s="42" t="n">
        <v>0</v>
      </c>
      <c r="D38" s="42" t="n">
        <f aca="false">D$32*$B$8*(1-D35)*$B$14*$B$13</f>
        <v>2.9335091625</v>
      </c>
      <c r="E38" s="42" t="n">
        <f aca="false">E$32*$B$8*(1-E35)*$B$14*$B$13</f>
        <v>2.99217934575</v>
      </c>
      <c r="F38" s="42" t="n">
        <f aca="false">F$32*$B$8*(1-F35)*$B$14*$B$13</f>
        <v>3.052022932665</v>
      </c>
      <c r="G38" s="42" t="n">
        <f aca="false">G$32*$B$8*(1-G35)*$B$14*$B$13</f>
        <v>3.1130633913183</v>
      </c>
      <c r="H38" s="42" t="n">
        <f aca="false">H$32*$B$8*(1-H35)*$B$14*$B$13</f>
        <v>3.17532465914467</v>
      </c>
      <c r="I38" s="42" t="n">
        <f aca="false">I$32*$B$8*(1-I35)*$B$14*$B$13</f>
        <v>3.23883115232756</v>
      </c>
      <c r="J38" s="42" t="n">
        <f aca="false">J$32*$B$8*(1-J35)*$B$14*$B$13</f>
        <v>3.30360777537411</v>
      </c>
    </row>
    <row r="39" customFormat="false" ht="15" hidden="false" customHeight="false" outlineLevel="0" collapsed="false">
      <c r="A39" s="6" t="s">
        <v>227</v>
      </c>
      <c r="B39" s="6"/>
      <c r="C39" s="42" t="n">
        <v>0</v>
      </c>
      <c r="D39" s="42" t="n">
        <f aca="false">$B$10*$B$11*$B$6*D$28*(1-D36)</f>
        <v>7.0481075625</v>
      </c>
      <c r="E39" s="42" t="n">
        <f aca="false">$B$10*$B$11*$B$6*E$28*(1-E36)</f>
        <v>7.18906971375</v>
      </c>
      <c r="F39" s="42" t="n">
        <f aca="false">$B$10*$B$11*$B$6*F$28*(1-F36)</f>
        <v>7.332851108025</v>
      </c>
      <c r="G39" s="42" t="n">
        <f aca="false">$B$10*$B$11*$B$6*G$28*(1-G36)</f>
        <v>7.4795081301855</v>
      </c>
      <c r="H39" s="42" t="n">
        <f aca="false">$B$10*$B$11*$B$6*H$28*(1-H36)</f>
        <v>7.62909829278921</v>
      </c>
      <c r="I39" s="42" t="n">
        <f aca="false">$B$10*$B$11*$B$6*I$28*(1-I36)</f>
        <v>7.78168025864499</v>
      </c>
      <c r="J39" s="42" t="n">
        <f aca="false">$B$10*$B$11*$B$6*J$28*(1-J36)</f>
        <v>7.93731386381789</v>
      </c>
    </row>
    <row r="40" customFormat="false" ht="15" hidden="false" customHeight="false" outlineLevel="0" collapsed="false">
      <c r="A40" s="6" t="s">
        <v>228</v>
      </c>
      <c r="B40" s="6"/>
      <c r="C40" s="42" t="n">
        <v>0</v>
      </c>
      <c r="D40" s="42" t="n">
        <f aca="false">$F$21*D$27</f>
        <v>0</v>
      </c>
      <c r="E40" s="42" t="n">
        <f aca="false">$F$21*E$27</f>
        <v>0</v>
      </c>
      <c r="F40" s="42" t="n">
        <f aca="false">$F$21*F$27</f>
        <v>0</v>
      </c>
      <c r="G40" s="42" t="n">
        <f aca="false">$F$21*G$27</f>
        <v>0</v>
      </c>
      <c r="H40" s="42" t="n">
        <f aca="false">$F$21*H$27</f>
        <v>0</v>
      </c>
      <c r="I40" s="42" t="n">
        <f aca="false">$F$21*I$27</f>
        <v>0</v>
      </c>
      <c r="J40" s="42" t="n">
        <f aca="false">$F$21*J$27</f>
        <v>0</v>
      </c>
    </row>
    <row r="41" customFormat="false" ht="15" hidden="false" customHeight="false" outlineLevel="0" collapsed="false">
      <c r="A41" s="6" t="s">
        <v>229</v>
      </c>
      <c r="B41" s="6"/>
      <c r="C41" s="42" t="n">
        <f aca="false">$E$21</f>
        <v>0</v>
      </c>
      <c r="D41" s="42" t="n">
        <v>0</v>
      </c>
      <c r="E41" s="42" t="n">
        <v>0</v>
      </c>
      <c r="F41" s="42" t="n">
        <v>0</v>
      </c>
      <c r="G41" s="42" t="n">
        <v>0</v>
      </c>
      <c r="H41" s="42" t="n">
        <v>0</v>
      </c>
      <c r="I41" s="42" t="n">
        <v>0</v>
      </c>
      <c r="J41" s="42" t="n">
        <v>0</v>
      </c>
    </row>
    <row r="42" customFormat="false" ht="15" hidden="false" customHeight="false" outlineLevel="0" collapsed="false">
      <c r="A42" s="6" t="s">
        <v>230</v>
      </c>
      <c r="B42" s="6"/>
      <c r="C42" s="46" t="n">
        <f aca="false">SUM(C37:C41)</f>
        <v>0</v>
      </c>
      <c r="D42" s="46" t="n">
        <f aca="false">SUM(D37:D41)</f>
        <v>24.07783185</v>
      </c>
      <c r="E42" s="46" t="n">
        <f aca="false">SUM(E37:E41)</f>
        <v>24.559388487</v>
      </c>
      <c r="F42" s="46" t="n">
        <f aca="false">SUM(F37:F41)</f>
        <v>25.05057625674</v>
      </c>
      <c r="G42" s="46" t="n">
        <f aca="false">SUM(G37:G41)</f>
        <v>25.5515877818748</v>
      </c>
      <c r="H42" s="46" t="n">
        <f aca="false">SUM(H37:H41)</f>
        <v>26.0626195375123</v>
      </c>
      <c r="I42" s="46" t="n">
        <f aca="false">SUM(I37:I41)</f>
        <v>26.5838719282625</v>
      </c>
      <c r="J42" s="46" t="n">
        <f aca="false">SUM(J37:J41)</f>
        <v>27.1155493668278</v>
      </c>
    </row>
    <row r="43" customFormat="false" ht="15" hidden="false" customHeight="false" outlineLevel="0" collapsed="false">
      <c r="A43" s="6" t="s">
        <v>231</v>
      </c>
      <c r="B43" s="6"/>
      <c r="C43" s="42" t="n">
        <f aca="false">C42*C$30</f>
        <v>0</v>
      </c>
      <c r="D43" s="42" t="n">
        <f aca="false">D42*D$30</f>
        <v>22.29428875</v>
      </c>
      <c r="E43" s="42" t="n">
        <f aca="false">E42*E$30</f>
        <v>21.0557171527778</v>
      </c>
      <c r="F43" s="42" t="n">
        <f aca="false">F42*F$30</f>
        <v>19.8859550887346</v>
      </c>
      <c r="G43" s="42" t="n">
        <f aca="false">G42*G$30</f>
        <v>18.7811798060271</v>
      </c>
      <c r="H43" s="42" t="n">
        <f aca="false">H42*H$30</f>
        <v>17.7377809279145</v>
      </c>
      <c r="I43" s="42" t="n">
        <f aca="false">I42*I$30</f>
        <v>16.7523486541414</v>
      </c>
      <c r="J43" s="42" t="n">
        <f aca="false">J42*J$30</f>
        <v>15.8216626178003</v>
      </c>
    </row>
    <row r="45" customFormat="false" ht="15" hidden="false" customHeight="false" outlineLevel="0" collapsed="false">
      <c r="A45" s="3" t="s">
        <v>232</v>
      </c>
      <c r="B45" s="4"/>
      <c r="C45" s="4"/>
      <c r="D45" s="4"/>
      <c r="E45" s="4"/>
      <c r="F45" s="4"/>
      <c r="G45" s="4"/>
      <c r="H45" s="4"/>
      <c r="I45" s="4"/>
      <c r="J45" s="4"/>
    </row>
    <row r="46" customFormat="false" ht="15" hidden="false" customHeight="false" outlineLevel="0" collapsed="false">
      <c r="A46" s="6" t="s">
        <v>223</v>
      </c>
      <c r="B46" s="6"/>
      <c r="C46" s="34" t="n">
        <f aca="false">$B$18</f>
        <v>0.3</v>
      </c>
      <c r="D46" s="34" t="n">
        <f aca="false">$B$18+($B$22-$B$18)*MIN(1,D$26/$C$22)</f>
        <v>0.466666666666667</v>
      </c>
      <c r="E46" s="34" t="n">
        <f aca="false">$B$18+($B$22-$B$18)*MIN(1,E$26/$C$22)</f>
        <v>0.633333333333333</v>
      </c>
      <c r="F46" s="34" t="n">
        <f aca="false">$B$18+($B$22-$B$18)*MIN(1,F$26/$C$22)</f>
        <v>0.8</v>
      </c>
      <c r="G46" s="34" t="n">
        <f aca="false">$B$18+($B$22-$B$18)*MIN(1,G$26/$C$22)</f>
        <v>0.8</v>
      </c>
      <c r="H46" s="34" t="n">
        <f aca="false">$B$18+($B$22-$B$18)*MIN(1,H$26/$C$22)</f>
        <v>0.8</v>
      </c>
      <c r="I46" s="34" t="n">
        <f aca="false">$B$18+($B$22-$B$18)*MIN(1,I$26/$C$22)</f>
        <v>0.8</v>
      </c>
      <c r="J46" s="34" t="n">
        <f aca="false">$B$18+($B$22-$B$18)*MIN(1,J$26/$C$22)</f>
        <v>0.8</v>
      </c>
    </row>
    <row r="47" customFormat="false" ht="15" hidden="false" customHeight="false" outlineLevel="0" collapsed="false">
      <c r="A47" s="6" t="s">
        <v>224</v>
      </c>
      <c r="B47" s="6"/>
      <c r="C47" s="34" t="n">
        <f aca="false">C46*$D$22</f>
        <v>0.24</v>
      </c>
      <c r="D47" s="34" t="n">
        <f aca="false">D46*$D$22</f>
        <v>0.373333333333333</v>
      </c>
      <c r="E47" s="34" t="n">
        <f aca="false">E46*$D$22</f>
        <v>0.506666666666667</v>
      </c>
      <c r="F47" s="34" t="n">
        <f aca="false">F46*$D$22</f>
        <v>0.64</v>
      </c>
      <c r="G47" s="34" t="n">
        <f aca="false">G46*$D$22</f>
        <v>0.64</v>
      </c>
      <c r="H47" s="34" t="n">
        <f aca="false">H46*$D$22</f>
        <v>0.64</v>
      </c>
      <c r="I47" s="34" t="n">
        <f aca="false">I46*$D$22</f>
        <v>0.64</v>
      </c>
      <c r="J47" s="34" t="n">
        <f aca="false">J46*$D$22</f>
        <v>0.64</v>
      </c>
    </row>
    <row r="48" customFormat="false" ht="15" hidden="false" customHeight="false" outlineLevel="0" collapsed="false">
      <c r="A48" s="6" t="s">
        <v>225</v>
      </c>
      <c r="B48" s="6"/>
      <c r="C48" s="42" t="n">
        <v>0</v>
      </c>
      <c r="D48" s="42" t="n">
        <f aca="false">$B$9*$B$12*$B$8*D$28*(1-D47)</f>
        <v>10.77271725</v>
      </c>
      <c r="E48" s="42" t="n">
        <f aca="false">$B$9*$B$12*$B$8*E$28*(1-E47)</f>
        <v>8.650262745</v>
      </c>
      <c r="F48" s="42" t="n">
        <f aca="false">$B$9*$B$12*$B$8*F$28*(1-F47)</f>
        <v>6.4386009729</v>
      </c>
      <c r="G48" s="42" t="n">
        <f aca="false">$B$9*$B$12*$B$8*G$28*(1-G47)</f>
        <v>6.567372992358</v>
      </c>
      <c r="H48" s="42" t="n">
        <f aca="false">$B$9*$B$12*$B$8*H$28*(1-H47)</f>
        <v>6.69872045220516</v>
      </c>
      <c r="I48" s="42" t="n">
        <f aca="false">$B$9*$B$12*$B$8*I$28*(1-I47)</f>
        <v>6.83269486124926</v>
      </c>
      <c r="J48" s="42" t="n">
        <f aca="false">$B$9*$B$12*$B$8*J$28*(1-J47)</f>
        <v>6.96934875847425</v>
      </c>
    </row>
    <row r="49" customFormat="false" ht="15" hidden="false" customHeight="false" outlineLevel="0" collapsed="false">
      <c r="A49" s="6" t="s">
        <v>226</v>
      </c>
      <c r="B49" s="6"/>
      <c r="C49" s="42" t="n">
        <v>0</v>
      </c>
      <c r="D49" s="42" t="n">
        <f aca="false">D$32*$B$8*(1-D46)*$B$14*$B$13</f>
        <v>2.2350546</v>
      </c>
      <c r="E49" s="42" t="n">
        <f aca="false">E$32*$B$8*(1-E46)*$B$14*$B$13</f>
        <v>1.56733203825</v>
      </c>
      <c r="F49" s="42" t="n">
        <f aca="false">F$32*$B$8*(1-F46)*$B$14*$B$13</f>
        <v>0.87200655219</v>
      </c>
      <c r="G49" s="42" t="n">
        <f aca="false">G$32*$B$8*(1-G46)*$B$14*$B$13</f>
        <v>0.8894466832338</v>
      </c>
      <c r="H49" s="42" t="n">
        <f aca="false">H$32*$B$8*(1-H46)*$B$14*$B$13</f>
        <v>0.907235616898476</v>
      </c>
      <c r="I49" s="42" t="n">
        <f aca="false">I$32*$B$8*(1-I46)*$B$14*$B$13</f>
        <v>0.925380329236445</v>
      </c>
      <c r="J49" s="42" t="n">
        <f aca="false">J$32*$B$8*(1-J46)*$B$14*$B$13</f>
        <v>0.943887935821174</v>
      </c>
    </row>
    <row r="50" customFormat="false" ht="15" hidden="false" customHeight="false" outlineLevel="0" collapsed="false">
      <c r="A50" s="6" t="s">
        <v>227</v>
      </c>
      <c r="B50" s="6"/>
      <c r="C50" s="42" t="n">
        <v>0</v>
      </c>
      <c r="D50" s="42" t="n">
        <f aca="false">$B$10*$B$11*$B$6*D$28*(1-D47)</f>
        <v>5.386358625</v>
      </c>
      <c r="E50" s="42" t="n">
        <f aca="false">$B$10*$B$11*$B$6*E$28*(1-E47)</f>
        <v>4.3251313725</v>
      </c>
      <c r="F50" s="42" t="n">
        <f aca="false">$B$10*$B$11*$B$6*F$28*(1-F47)</f>
        <v>3.21930048645</v>
      </c>
      <c r="G50" s="42" t="n">
        <f aca="false">$B$10*$B$11*$B$6*G$28*(1-G47)</f>
        <v>3.283686496179</v>
      </c>
      <c r="H50" s="42" t="n">
        <f aca="false">$B$10*$B$11*$B$6*H$28*(1-H47)</f>
        <v>3.34936022610258</v>
      </c>
      <c r="I50" s="42" t="n">
        <f aca="false">$B$10*$B$11*$B$6*I$28*(1-I47)</f>
        <v>3.41634743062463</v>
      </c>
      <c r="J50" s="42" t="n">
        <f aca="false">$B$10*$B$11*$B$6*J$28*(1-J47)</f>
        <v>3.48467437923712</v>
      </c>
    </row>
    <row r="51" customFormat="false" ht="15" hidden="false" customHeight="false" outlineLevel="0" collapsed="false">
      <c r="A51" s="6" t="s">
        <v>228</v>
      </c>
      <c r="B51" s="6"/>
      <c r="C51" s="42" t="n">
        <v>0</v>
      </c>
      <c r="D51" s="42" t="n">
        <f aca="false">$F$22*D$27</f>
        <v>2.55</v>
      </c>
      <c r="E51" s="42" t="n">
        <f aca="false">$F$22*E$27</f>
        <v>2.601</v>
      </c>
      <c r="F51" s="42" t="n">
        <f aca="false">$F$22*F$27</f>
        <v>2.65302</v>
      </c>
      <c r="G51" s="42" t="n">
        <f aca="false">$F$22*G$27</f>
        <v>2.7060804</v>
      </c>
      <c r="H51" s="42" t="n">
        <f aca="false">$F$22*H$27</f>
        <v>2.760202008</v>
      </c>
      <c r="I51" s="42" t="n">
        <f aca="false">$F$22*I$27</f>
        <v>2.81540604816</v>
      </c>
      <c r="J51" s="42" t="n">
        <f aca="false">$F$22*J$27</f>
        <v>2.8717141691232</v>
      </c>
    </row>
    <row r="52" customFormat="false" ht="15" hidden="false" customHeight="false" outlineLevel="0" collapsed="false">
      <c r="A52" s="6" t="s">
        <v>229</v>
      </c>
      <c r="B52" s="6"/>
      <c r="C52" s="42" t="n">
        <f aca="false">$E$22</f>
        <v>7</v>
      </c>
      <c r="D52" s="42" t="n">
        <v>0</v>
      </c>
      <c r="E52" s="42" t="n">
        <v>0</v>
      </c>
      <c r="F52" s="42" t="n">
        <v>0</v>
      </c>
      <c r="G52" s="42" t="n">
        <v>0</v>
      </c>
      <c r="H52" s="42" t="n">
        <v>0</v>
      </c>
      <c r="I52" s="42" t="n">
        <v>0</v>
      </c>
      <c r="J52" s="42" t="n">
        <v>0</v>
      </c>
    </row>
    <row r="53" customFormat="false" ht="15" hidden="false" customHeight="false" outlineLevel="0" collapsed="false">
      <c r="A53" s="6" t="s">
        <v>230</v>
      </c>
      <c r="B53" s="6"/>
      <c r="C53" s="46" t="n">
        <f aca="false">SUM(C48:C52)</f>
        <v>7</v>
      </c>
      <c r="D53" s="46" t="n">
        <f aca="false">SUM(D48:D52)</f>
        <v>20.944130475</v>
      </c>
      <c r="E53" s="46" t="n">
        <f aca="false">SUM(E48:E52)</f>
        <v>17.14372615575</v>
      </c>
      <c r="F53" s="46" t="n">
        <f aca="false">SUM(F48:F52)</f>
        <v>13.18292801154</v>
      </c>
      <c r="G53" s="46" t="n">
        <f aca="false">SUM(G48:G52)</f>
        <v>13.4465865717708</v>
      </c>
      <c r="H53" s="46" t="n">
        <f aca="false">SUM(H48:H52)</f>
        <v>13.7155183032062</v>
      </c>
      <c r="I53" s="46" t="n">
        <f aca="false">SUM(I48:I52)</f>
        <v>13.9898286692703</v>
      </c>
      <c r="J53" s="46" t="n">
        <f aca="false">SUM(J48:J52)</f>
        <v>14.2696252426557</v>
      </c>
    </row>
    <row r="54" customFormat="false" ht="15" hidden="false" customHeight="false" outlineLevel="0" collapsed="false">
      <c r="A54" s="6" t="s">
        <v>231</v>
      </c>
      <c r="B54" s="6"/>
      <c r="C54" s="42" t="n">
        <f aca="false">C53*C$30</f>
        <v>7</v>
      </c>
      <c r="D54" s="42" t="n">
        <f aca="false">D53*D$30</f>
        <v>19.3927134027778</v>
      </c>
      <c r="E54" s="42" t="n">
        <f aca="false">E53*E$30</f>
        <v>14.6979819579475</v>
      </c>
      <c r="F54" s="42" t="n">
        <f aca="false">F53*F$30</f>
        <v>10.4650332866084</v>
      </c>
      <c r="G54" s="42" t="n">
        <f aca="false">G53*G$30</f>
        <v>9.88364254846345</v>
      </c>
      <c r="H54" s="42" t="n">
        <f aca="false">H53*H$30</f>
        <v>9.33455129577104</v>
      </c>
      <c r="I54" s="42" t="n">
        <f aca="false">I53*I$30</f>
        <v>8.81596511267265</v>
      </c>
      <c r="J54" s="42" t="n">
        <f aca="false">J53*J$30</f>
        <v>8.32618927307972</v>
      </c>
    </row>
    <row r="56" customFormat="false" ht="15" hidden="false" customHeight="false" outlineLevel="0" collapsed="false">
      <c r="A56" s="3" t="s">
        <v>233</v>
      </c>
      <c r="B56" s="4"/>
      <c r="C56" s="4"/>
      <c r="D56" s="4"/>
      <c r="E56" s="4"/>
      <c r="F56" s="4"/>
      <c r="G56" s="4"/>
      <c r="H56" s="4"/>
      <c r="I56" s="4"/>
      <c r="J56" s="4"/>
    </row>
    <row r="57" customFormat="false" ht="15" hidden="false" customHeight="false" outlineLevel="0" collapsed="false">
      <c r="A57" s="6" t="s">
        <v>223</v>
      </c>
      <c r="B57" s="6"/>
      <c r="C57" s="34" t="n">
        <f aca="false">$B$18</f>
        <v>0.3</v>
      </c>
      <c r="D57" s="34" t="n">
        <f aca="false">$B$18+($B$23-$B$18)*MIN(1,D$26/$C$23)</f>
        <v>0.45</v>
      </c>
      <c r="E57" s="34" t="n">
        <f aca="false">$B$18+($B$23-$B$18)*MIN(1,E$26/$C$23)</f>
        <v>0.6</v>
      </c>
      <c r="F57" s="34" t="n">
        <f aca="false">$B$18+($B$23-$B$18)*MIN(1,F$26/$C$23)</f>
        <v>0.75</v>
      </c>
      <c r="G57" s="34" t="n">
        <f aca="false">$B$18+($B$23-$B$18)*MIN(1,G$26/$C$23)</f>
        <v>0.9</v>
      </c>
      <c r="H57" s="34" t="n">
        <f aca="false">$B$18+($B$23-$B$18)*MIN(1,H$26/$C$23)</f>
        <v>0.9</v>
      </c>
      <c r="I57" s="34" t="n">
        <f aca="false">$B$18+($B$23-$B$18)*MIN(1,I$26/$C$23)</f>
        <v>0.9</v>
      </c>
      <c r="J57" s="34" t="n">
        <f aca="false">$B$18+($B$23-$B$18)*MIN(1,J$26/$C$23)</f>
        <v>0.9</v>
      </c>
    </row>
    <row r="58" customFormat="false" ht="15" hidden="false" customHeight="false" outlineLevel="0" collapsed="false">
      <c r="A58" s="6" t="s">
        <v>224</v>
      </c>
      <c r="B58" s="6"/>
      <c r="C58" s="34" t="n">
        <f aca="false">C57*$D$23</f>
        <v>0.27</v>
      </c>
      <c r="D58" s="34" t="n">
        <f aca="false">D57*$D$23</f>
        <v>0.405</v>
      </c>
      <c r="E58" s="34" t="n">
        <f aca="false">E57*$D$23</f>
        <v>0.54</v>
      </c>
      <c r="F58" s="34" t="n">
        <f aca="false">F57*$D$23</f>
        <v>0.675</v>
      </c>
      <c r="G58" s="34" t="n">
        <f aca="false">G57*$D$23</f>
        <v>0.81</v>
      </c>
      <c r="H58" s="34" t="n">
        <f aca="false">H57*$D$23</f>
        <v>0.81</v>
      </c>
      <c r="I58" s="34" t="n">
        <f aca="false">I57*$D$23</f>
        <v>0.81</v>
      </c>
      <c r="J58" s="34" t="n">
        <f aca="false">J57*$D$23</f>
        <v>0.81</v>
      </c>
    </row>
    <row r="59" customFormat="false" ht="15" hidden="false" customHeight="false" outlineLevel="0" collapsed="false">
      <c r="A59" s="6" t="s">
        <v>225</v>
      </c>
      <c r="B59" s="6"/>
      <c r="C59" s="42" t="n">
        <v>0</v>
      </c>
      <c r="D59" s="42" t="n">
        <f aca="false">$B$9*$B$12*$B$8*D$28*(1-D58)</f>
        <v>10.22835121875</v>
      </c>
      <c r="E59" s="42" t="n">
        <f aca="false">$B$9*$B$12*$B$8*E$28*(1-E58)</f>
        <v>8.0657855325</v>
      </c>
      <c r="F59" s="42" t="n">
        <f aca="false">$B$9*$B$12*$B$8*F$28*(1-F58)</f>
        <v>5.8126258783125</v>
      </c>
      <c r="G59" s="42" t="n">
        <f aca="false">$B$9*$B$12*$B$8*G$28*(1-G58)</f>
        <v>3.4661135237445</v>
      </c>
      <c r="H59" s="42" t="n">
        <f aca="false">$B$9*$B$12*$B$8*H$28*(1-H58)</f>
        <v>3.53543579421939</v>
      </c>
      <c r="I59" s="42" t="n">
        <f aca="false">$B$9*$B$12*$B$8*I$28*(1-I58)</f>
        <v>3.60614451010377</v>
      </c>
      <c r="J59" s="42" t="n">
        <f aca="false">$B$9*$B$12*$B$8*J$28*(1-J58)</f>
        <v>3.67826740030585</v>
      </c>
    </row>
    <row r="60" customFormat="false" ht="15" hidden="false" customHeight="false" outlineLevel="0" collapsed="false">
      <c r="A60" s="6" t="s">
        <v>226</v>
      </c>
      <c r="B60" s="6"/>
      <c r="C60" s="42" t="n">
        <v>0</v>
      </c>
      <c r="D60" s="42" t="n">
        <f aca="false">D$32*$B$8*(1-D57)*$B$14*$B$13</f>
        <v>2.30490005625</v>
      </c>
      <c r="E60" s="42" t="n">
        <f aca="false">E$32*$B$8*(1-E57)*$B$14*$B$13</f>
        <v>1.709816769</v>
      </c>
      <c r="F60" s="42" t="n">
        <f aca="false">F$32*$B$8*(1-F57)*$B$14*$B$13</f>
        <v>1.0900081902375</v>
      </c>
      <c r="G60" s="42" t="n">
        <f aca="false">G$32*$B$8*(1-G57)*$B$14*$B$13</f>
        <v>0.444723341616899</v>
      </c>
      <c r="H60" s="42" t="n">
        <f aca="false">H$32*$B$8*(1-H57)*$B$14*$B$13</f>
        <v>0.453617808449237</v>
      </c>
      <c r="I60" s="42" t="n">
        <f aca="false">I$32*$B$8*(1-I57)*$B$14*$B$13</f>
        <v>0.462690164618222</v>
      </c>
      <c r="J60" s="42" t="n">
        <f aca="false">J$32*$B$8*(1-J57)*$B$14*$B$13</f>
        <v>0.471943967910587</v>
      </c>
    </row>
    <row r="61" customFormat="false" ht="15" hidden="false" customHeight="false" outlineLevel="0" collapsed="false">
      <c r="A61" s="6" t="s">
        <v>227</v>
      </c>
      <c r="B61" s="6"/>
      <c r="C61" s="42" t="n">
        <v>0</v>
      </c>
      <c r="D61" s="42" t="n">
        <f aca="false">$B$10*$B$11*$B$6*D$28*(1-D58)</f>
        <v>5.114175609375</v>
      </c>
      <c r="E61" s="42" t="n">
        <f aca="false">$B$10*$B$11*$B$6*E$28*(1-E58)</f>
        <v>4.03289276625</v>
      </c>
      <c r="F61" s="42" t="n">
        <f aca="false">$B$10*$B$11*$B$6*F$28*(1-F58)</f>
        <v>2.90631293915625</v>
      </c>
      <c r="G61" s="42" t="n">
        <f aca="false">$B$10*$B$11*$B$6*G$28*(1-G58)</f>
        <v>1.73305676187225</v>
      </c>
      <c r="H61" s="42" t="n">
        <f aca="false">$B$10*$B$11*$B$6*H$28*(1-H58)</f>
        <v>1.76771789710969</v>
      </c>
      <c r="I61" s="42" t="n">
        <f aca="false">$B$10*$B$11*$B$6*I$28*(1-I58)</f>
        <v>1.80307225505189</v>
      </c>
      <c r="J61" s="42" t="n">
        <f aca="false">$B$10*$B$11*$B$6*J$28*(1-J58)</f>
        <v>1.83913370015292</v>
      </c>
    </row>
    <row r="62" customFormat="false" ht="15" hidden="false" customHeight="false" outlineLevel="0" collapsed="false">
      <c r="A62" s="6" t="s">
        <v>228</v>
      </c>
      <c r="B62" s="6"/>
      <c r="C62" s="42" t="n">
        <v>0</v>
      </c>
      <c r="D62" s="42" t="n">
        <f aca="false">$F$23*D$27</f>
        <v>4.08</v>
      </c>
      <c r="E62" s="42" t="n">
        <f aca="false">$F$23*E$27</f>
        <v>4.1616</v>
      </c>
      <c r="F62" s="42" t="n">
        <f aca="false">$F$23*F$27</f>
        <v>4.244832</v>
      </c>
      <c r="G62" s="42" t="n">
        <f aca="false">$F$23*G$27</f>
        <v>4.32972864</v>
      </c>
      <c r="H62" s="42" t="n">
        <f aca="false">$F$23*H$27</f>
        <v>4.4163232128</v>
      </c>
      <c r="I62" s="42" t="n">
        <f aca="false">$F$23*I$27</f>
        <v>4.504649677056</v>
      </c>
      <c r="J62" s="42" t="n">
        <f aca="false">$F$23*J$27</f>
        <v>4.59474267059712</v>
      </c>
    </row>
    <row r="63" customFormat="false" ht="15" hidden="false" customHeight="false" outlineLevel="0" collapsed="false">
      <c r="A63" s="6" t="s">
        <v>229</v>
      </c>
      <c r="B63" s="6"/>
      <c r="C63" s="42" t="n">
        <f aca="false">$E$23</f>
        <v>12</v>
      </c>
      <c r="D63" s="42" t="n">
        <v>0</v>
      </c>
      <c r="E63" s="42" t="n">
        <v>0</v>
      </c>
      <c r="F63" s="42" t="n">
        <v>0</v>
      </c>
      <c r="G63" s="42" t="n">
        <v>0</v>
      </c>
      <c r="H63" s="42" t="n">
        <v>0</v>
      </c>
      <c r="I63" s="42" t="n">
        <v>0</v>
      </c>
      <c r="J63" s="42" t="n">
        <v>0</v>
      </c>
    </row>
    <row r="64" customFormat="false" ht="15" hidden="false" customHeight="false" outlineLevel="0" collapsed="false">
      <c r="A64" s="6" t="s">
        <v>230</v>
      </c>
      <c r="B64" s="6"/>
      <c r="C64" s="46" t="n">
        <f aca="false">SUM(C59:C63)</f>
        <v>12</v>
      </c>
      <c r="D64" s="46" t="n">
        <f aca="false">SUM(D59:D63)</f>
        <v>21.727426884375</v>
      </c>
      <c r="E64" s="46" t="n">
        <f aca="false">SUM(E59:E63)</f>
        <v>17.97009506775</v>
      </c>
      <c r="F64" s="46" t="n">
        <f aca="false">SUM(F59:F63)</f>
        <v>14.0537790077062</v>
      </c>
      <c r="G64" s="46" t="n">
        <f aca="false">SUM(G59:G63)</f>
        <v>9.97362226723364</v>
      </c>
      <c r="H64" s="46" t="n">
        <f aca="false">SUM(H59:H63)</f>
        <v>10.1730947125783</v>
      </c>
      <c r="I64" s="46" t="n">
        <f aca="false">SUM(I59:I63)</f>
        <v>10.3765566068299</v>
      </c>
      <c r="J64" s="46" t="n">
        <f aca="false">SUM(J59:J63)</f>
        <v>10.5840877389665</v>
      </c>
    </row>
    <row r="65" customFormat="false" ht="15" hidden="false" customHeight="false" outlineLevel="0" collapsed="false">
      <c r="A65" s="6" t="s">
        <v>231</v>
      </c>
      <c r="B65" s="6"/>
      <c r="C65" s="42" t="n">
        <f aca="false">C64*C$30</f>
        <v>12</v>
      </c>
      <c r="D65" s="42" t="n">
        <f aca="false">D64*D$30</f>
        <v>20.1179878559028</v>
      </c>
      <c r="E65" s="42" t="n">
        <f aca="false">E64*E$30</f>
        <v>15.4064601060957</v>
      </c>
      <c r="F65" s="42" t="n">
        <f aca="false">F64*F$30</f>
        <v>11.1563428844897</v>
      </c>
      <c r="G65" s="42" t="n">
        <f aca="false">G64*G$30</f>
        <v>7.33091010693217</v>
      </c>
      <c r="H65" s="42" t="n">
        <f aca="false">H64*H$30</f>
        <v>6.92363732321372</v>
      </c>
      <c r="I65" s="42" t="n">
        <f aca="false">I64*I$30</f>
        <v>6.5389908052574</v>
      </c>
      <c r="J65" s="42" t="n">
        <f aca="false">J64*J$30</f>
        <v>6.17571353829866</v>
      </c>
    </row>
    <row r="68" customFormat="false" ht="15" hidden="false" customHeight="false" outlineLevel="0" collapsed="false">
      <c r="A68" s="3" t="s">
        <v>234</v>
      </c>
      <c r="B68" s="4"/>
      <c r="C68" s="4"/>
      <c r="D68" s="4"/>
      <c r="E68" s="4"/>
      <c r="F68" s="4"/>
      <c r="G68" s="4"/>
      <c r="H68" s="4"/>
      <c r="I68" s="4"/>
      <c r="J68" s="4"/>
    </row>
    <row r="69" customFormat="false" ht="43.5" hidden="false" customHeight="true" outlineLevel="0" collapsed="false">
      <c r="A69" s="11" t="s">
        <v>235</v>
      </c>
      <c r="B69" s="11" t="s">
        <v>236</v>
      </c>
      <c r="C69" s="11" t="s">
        <v>237</v>
      </c>
      <c r="D69" s="11" t="s">
        <v>238</v>
      </c>
      <c r="E69" s="11" t="s">
        <v>239</v>
      </c>
      <c r="F69" s="11" t="s">
        <v>240</v>
      </c>
      <c r="G69" s="11" t="s">
        <v>241</v>
      </c>
      <c r="H69" s="11" t="s">
        <v>242</v>
      </c>
      <c r="I69" s="11" t="s">
        <v>243</v>
      </c>
    </row>
    <row r="70" customFormat="false" ht="15" hidden="false" customHeight="false" outlineLevel="0" collapsed="false">
      <c r="A70" s="10" t="s">
        <v>183</v>
      </c>
      <c r="B70" s="42" t="n">
        <f aca="false">SUMPRODUCT((C37:J37+C38:J38+C39:J39)*$C$30:$J$30)</f>
        <v>132.328932997396</v>
      </c>
      <c r="C70" s="42" t="n">
        <f aca="false">SUMPRODUCT((C40:J40+C41:J41)*$C$30:$J$30)</f>
        <v>0</v>
      </c>
      <c r="D70" s="42" t="n">
        <f aca="false">SUM(C43:J43)</f>
        <v>132.328932997396</v>
      </c>
      <c r="E70" s="6"/>
      <c r="F70" s="6"/>
      <c r="G70" s="6"/>
      <c r="H70" s="6"/>
      <c r="I70" s="6"/>
    </row>
    <row r="71" customFormat="false" ht="15" hidden="false" customHeight="false" outlineLevel="0" collapsed="false">
      <c r="A71" s="10" t="s">
        <v>184</v>
      </c>
      <c r="B71" s="42" t="n">
        <f aca="false">SUMPRODUCT((C48:J48+C49:J49+C50:J50)*$C$30:$J$30)</f>
        <v>66.9015766828872</v>
      </c>
      <c r="C71" s="42" t="n">
        <f aca="false">SUMPRODUCT((C51:J51+C52:J52)*$C$30:$J$30)</f>
        <v>21.0145001944334</v>
      </c>
      <c r="D71" s="42" t="n">
        <f aca="false">SUM(C54:J54)</f>
        <v>87.9160768773205</v>
      </c>
      <c r="E71" s="47" t="n">
        <f aca="false">$D$70-D71</f>
        <v>44.4128561200751</v>
      </c>
      <c r="F71" s="42" t="n">
        <f aca="false">$B$70-B71</f>
        <v>65.4273563145084</v>
      </c>
      <c r="G71" s="28" t="n">
        <f aca="false">IF(C71=0,0,F71/C71)</f>
        <v>3.11343861187047</v>
      </c>
      <c r="H71" s="48" t="n">
        <f aca="false">IFERROR(MAX(0,1-E71/SUMPRODUCT((C37:J37-C48:J48)*$C$30:$J$30)),0)</f>
        <v>0</v>
      </c>
      <c r="I71" s="49" t="n">
        <f aca="false">IF(MIN(C77:J77)=99,"&gt; 7",MIN(C77:J77))</f>
        <v>2</v>
      </c>
    </row>
    <row r="72" customFormat="false" ht="15" hidden="false" customHeight="false" outlineLevel="0" collapsed="false">
      <c r="A72" s="10" t="s">
        <v>185</v>
      </c>
      <c r="B72" s="42" t="n">
        <f aca="false">SUMPRODUCT((C59:J59+C60:J60+C61:J61)*$C$30:$J$30)</f>
        <v>51.2268423090967</v>
      </c>
      <c r="C72" s="42" t="n">
        <f aca="false">SUMPRODUCT((C62:J62+C63:J63)*$C$30:$J$30)</f>
        <v>34.4232003110934</v>
      </c>
      <c r="D72" s="42" t="n">
        <f aca="false">SUM(C65:J65)</f>
        <v>85.6500426201901</v>
      </c>
      <c r="E72" s="47" t="n">
        <f aca="false">$D$70-D72</f>
        <v>46.6788903772055</v>
      </c>
      <c r="F72" s="42" t="n">
        <f aca="false">$B$70-B72</f>
        <v>81.1020906882989</v>
      </c>
      <c r="G72" s="28" t="n">
        <f aca="false">IF(C72=0,0,F72/C72)</f>
        <v>2.35602994362388</v>
      </c>
      <c r="H72" s="48" t="n">
        <f aca="false">IFERROR(MAX(0,1-E72/SUMPRODUCT((C37:J37-C59:J59)*$C$30:$J$30)),0)</f>
        <v>0.00890946693457428</v>
      </c>
      <c r="I72" s="49" t="n">
        <f aca="false">IF(MIN(C79:J79)=99,"&gt; 7",MIN(C79:J79))</f>
        <v>3</v>
      </c>
    </row>
    <row r="75" customFormat="false" ht="15" hidden="false" customHeight="false" outlineLevel="0" collapsed="false">
      <c r="A75" s="39" t="s">
        <v>244</v>
      </c>
    </row>
    <row r="76" customFormat="false" ht="15" hidden="false" customHeight="false" outlineLevel="0" collapsed="false">
      <c r="A76" s="6" t="s">
        <v>245</v>
      </c>
      <c r="B76" s="6"/>
      <c r="C76" s="42" t="n">
        <f aca="false">(C42-C53)*C$30</f>
        <v>-7</v>
      </c>
      <c r="D76" s="42" t="n">
        <f aca="false">(D42-D53)*D$30+C76</f>
        <v>-4.09842465277778</v>
      </c>
      <c r="E76" s="42" t="n">
        <f aca="false">(E42-E53)*E$30+D76</f>
        <v>2.25931054205247</v>
      </c>
      <c r="F76" s="42" t="n">
        <f aca="false">(F42-F53)*F$30+E76</f>
        <v>11.6802323441787</v>
      </c>
      <c r="G76" s="42" t="n">
        <f aca="false">(G42-G53)*G$30+F76</f>
        <v>20.5777696017423</v>
      </c>
      <c r="H76" s="42" t="n">
        <f aca="false">(H42-H53)*H$30+G76</f>
        <v>28.9809992338857</v>
      </c>
      <c r="I76" s="42" t="n">
        <f aca="false">(I42-I53)*I$30+H76</f>
        <v>36.9173827753545</v>
      </c>
      <c r="J76" s="42" t="n">
        <f aca="false">(J42-J53)*J$30+I76</f>
        <v>44.4128561200751</v>
      </c>
    </row>
    <row r="77" customFormat="false" ht="15" hidden="false" customHeight="false" outlineLevel="0" collapsed="false">
      <c r="A77" s="6" t="s">
        <v>246</v>
      </c>
      <c r="B77" s="6"/>
      <c r="C77" s="50" t="n">
        <f aca="false">IF(C76&gt;=0,C$26,99)</f>
        <v>99</v>
      </c>
      <c r="D77" s="50" t="n">
        <f aca="false">IF(D76&gt;=0,D$26,99)</f>
        <v>99</v>
      </c>
      <c r="E77" s="50" t="n">
        <f aca="false">IF(E76&gt;=0,E$26,99)</f>
        <v>2</v>
      </c>
      <c r="F77" s="50" t="n">
        <f aca="false">IF(F76&gt;=0,F$26,99)</f>
        <v>3</v>
      </c>
      <c r="G77" s="50" t="n">
        <f aca="false">IF(G76&gt;=0,G$26,99)</f>
        <v>4</v>
      </c>
      <c r="H77" s="50" t="n">
        <f aca="false">IF(H76&gt;=0,H$26,99)</f>
        <v>5</v>
      </c>
      <c r="I77" s="50" t="n">
        <f aca="false">IF(I76&gt;=0,I$26,99)</f>
        <v>6</v>
      </c>
      <c r="J77" s="50" t="n">
        <f aca="false">IF(J76&gt;=0,J$26,99)</f>
        <v>7</v>
      </c>
    </row>
    <row r="78" customFormat="false" ht="15" hidden="false" customHeight="false" outlineLevel="0" collapsed="false">
      <c r="A78" s="6" t="s">
        <v>247</v>
      </c>
      <c r="B78" s="6"/>
      <c r="C78" s="42" t="n">
        <f aca="false">(C42-C64)*C$30</f>
        <v>-12</v>
      </c>
      <c r="D78" s="42" t="n">
        <f aca="false">(D42-D64)*D$30+C78</f>
        <v>-9.82369910590278</v>
      </c>
      <c r="E78" s="42" t="n">
        <f aca="false">(E42-E64)*E$30+D78</f>
        <v>-4.17444205922068</v>
      </c>
      <c r="F78" s="42" t="n">
        <f aca="false">(F42-F64)*F$30+E78</f>
        <v>4.55517014502422</v>
      </c>
      <c r="G78" s="42" t="n">
        <f aca="false">(G42-G64)*G$30+F78</f>
        <v>16.0054398441191</v>
      </c>
      <c r="H78" s="42" t="n">
        <f aca="false">(H42-H64)*H$30+G78</f>
        <v>26.8195834488199</v>
      </c>
      <c r="I78" s="42" t="n">
        <f aca="false">(I42-I64)*I$30+H78</f>
        <v>37.0329412977039</v>
      </c>
      <c r="J78" s="42" t="n">
        <f aca="false">(J42-J64)*J$30+I78</f>
        <v>46.6788903772055</v>
      </c>
    </row>
    <row r="79" customFormat="false" ht="15" hidden="false" customHeight="false" outlineLevel="0" collapsed="false">
      <c r="A79" s="6" t="s">
        <v>246</v>
      </c>
      <c r="B79" s="6"/>
      <c r="C79" s="50" t="n">
        <f aca="false">IF(C78&gt;=0,C$26,99)</f>
        <v>99</v>
      </c>
      <c r="D79" s="50" t="n">
        <f aca="false">IF(D78&gt;=0,D$26,99)</f>
        <v>99</v>
      </c>
      <c r="E79" s="50" t="n">
        <f aca="false">IF(E78&gt;=0,E$26,99)</f>
        <v>99</v>
      </c>
      <c r="F79" s="50" t="n">
        <f aca="false">IF(F78&gt;=0,F$26,99)</f>
        <v>3</v>
      </c>
      <c r="G79" s="50" t="n">
        <f aca="false">IF(G78&gt;=0,G$26,99)</f>
        <v>4</v>
      </c>
      <c r="H79" s="50" t="n">
        <f aca="false">IF(H78&gt;=0,H$26,99)</f>
        <v>5</v>
      </c>
      <c r="I79" s="50" t="n">
        <f aca="false">IF(I78&gt;=0,I$26,99)</f>
        <v>6</v>
      </c>
      <c r="J79" s="50" t="n">
        <f aca="false">IF(J78&gt;=0,J$26,99)</f>
        <v>7</v>
      </c>
    </row>
    <row r="81" customFormat="false" ht="15" hidden="false" customHeight="false" outlineLevel="0" collapsed="false">
      <c r="A81" s="10" t="s">
        <v>248</v>
      </c>
      <c r="E81" s="47" t="n">
        <f aca="false">E72-E71</f>
        <v>2.26603425713046</v>
      </c>
    </row>
    <row r="82" customFormat="false" ht="15" hidden="false" customHeight="false" outlineLevel="0" collapsed="false">
      <c r="A82" s="2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10" min="3" style="0" width="13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6" t="s">
        <v>194</v>
      </c>
      <c r="B4" s="29" t="n">
        <f aca="false">Assumptions!D26</f>
        <v>70415.7</v>
      </c>
      <c r="D4" s="39" t="s">
        <v>195</v>
      </c>
      <c r="E4" s="13" t="str">
        <f aca="false">Assumptions!B13</f>
        <v>Base</v>
      </c>
    </row>
    <row r="5" customFormat="false" ht="15" hidden="false" customHeight="false" outlineLevel="0" collapsed="false">
      <c r="A5" s="6" t="s">
        <v>196</v>
      </c>
      <c r="B5" s="29" t="n">
        <f aca="false">Assumptions!D27</f>
        <v>64619.9</v>
      </c>
    </row>
    <row r="6" customFormat="false" ht="15" hidden="false" customHeight="false" outlineLevel="0" collapsed="false">
      <c r="A6" s="6" t="s">
        <v>197</v>
      </c>
      <c r="B6" s="19" t="n">
        <f aca="false">Assumptions!D28</f>
        <v>0.4</v>
      </c>
    </row>
    <row r="7" customFormat="false" ht="15" hidden="false" customHeight="false" outlineLevel="0" collapsed="false">
      <c r="A7" s="6" t="s">
        <v>198</v>
      </c>
      <c r="B7" s="19" t="n">
        <f aca="false">Assumptions!D29</f>
        <v>0.3</v>
      </c>
    </row>
    <row r="8" customFormat="false" ht="15" hidden="false" customHeight="false" outlineLevel="0" collapsed="false">
      <c r="A8" s="6" t="s">
        <v>199</v>
      </c>
      <c r="B8" s="19" t="n">
        <f aca="false">Assumptions!D30</f>
        <v>0.08</v>
      </c>
    </row>
    <row r="9" customFormat="false" ht="15" hidden="false" customHeight="false" outlineLevel="0" collapsed="false">
      <c r="A9" s="6" t="s">
        <v>200</v>
      </c>
      <c r="B9" s="20" t="n">
        <f aca="false">Assumptions!D31*Assumptions!$B$19</f>
        <v>0.05</v>
      </c>
    </row>
    <row r="10" customFormat="false" ht="15" hidden="false" customHeight="false" outlineLevel="0" collapsed="false">
      <c r="A10" s="6" t="s">
        <v>201</v>
      </c>
      <c r="B10" s="20" t="n">
        <f aca="false">Assumptions!D32*Assumptions!$C$19</f>
        <v>0.15</v>
      </c>
    </row>
    <row r="11" customFormat="false" ht="15" hidden="false" customHeight="false" outlineLevel="0" collapsed="false">
      <c r="A11" s="6" t="s">
        <v>202</v>
      </c>
      <c r="B11" s="20" t="n">
        <f aca="false">Assumptions!D33</f>
        <v>0.01</v>
      </c>
    </row>
    <row r="12" customFormat="false" ht="15" hidden="false" customHeight="false" outlineLevel="0" collapsed="false">
      <c r="A12" s="6" t="s">
        <v>203</v>
      </c>
      <c r="B12" s="19" t="n">
        <f aca="false">Assumptions!$B$7</f>
        <v>0.02</v>
      </c>
    </row>
    <row r="13" customFormat="false" ht="15" hidden="false" customHeight="false" outlineLevel="0" collapsed="false">
      <c r="A13" s="6" t="s">
        <v>204</v>
      </c>
      <c r="B13" s="19" t="n">
        <f aca="false">Assumptions!$B$8*Assumptions!$D$19</f>
        <v>0.06</v>
      </c>
    </row>
    <row r="14" customFormat="false" ht="15" hidden="false" customHeight="false" outlineLevel="0" collapsed="false">
      <c r="A14" s="6" t="s">
        <v>205</v>
      </c>
      <c r="B14" s="19" t="n">
        <f aca="false">Assumptions!$B$9</f>
        <v>0.3</v>
      </c>
    </row>
    <row r="15" customFormat="false" ht="15" hidden="false" customHeight="false" outlineLevel="0" collapsed="false">
      <c r="A15" s="6" t="s">
        <v>124</v>
      </c>
      <c r="B15" s="19" t="n">
        <f aca="false">Assumptions!$B$5</f>
        <v>0.08</v>
      </c>
    </row>
    <row r="16" customFormat="false" ht="15" hidden="false" customHeight="false" outlineLevel="0" collapsed="false">
      <c r="A16" s="6" t="s">
        <v>206</v>
      </c>
      <c r="B16" s="19" t="n">
        <f aca="false">Assumptions!$B$6</f>
        <v>0.02</v>
      </c>
    </row>
    <row r="17" customFormat="false" ht="15" hidden="false" customHeight="false" outlineLevel="0" collapsed="false">
      <c r="A17" s="6" t="s">
        <v>207</v>
      </c>
      <c r="B17" s="17" t="n">
        <f aca="false">Assumptions!$E$19</f>
        <v>1</v>
      </c>
    </row>
    <row r="18" customFormat="false" ht="15" hidden="false" customHeight="false" outlineLevel="0" collapsed="false">
      <c r="A18" s="6" t="s">
        <v>208</v>
      </c>
      <c r="B18" s="19" t="n">
        <f aca="false">Assumptions!$B$10</f>
        <v>0.3</v>
      </c>
    </row>
    <row r="20" customFormat="false" ht="15" hidden="false" customHeight="false" outlineLevel="0" collapsed="false">
      <c r="A20" s="11" t="s">
        <v>209</v>
      </c>
      <c r="B20" s="11" t="s">
        <v>210</v>
      </c>
      <c r="C20" s="11" t="s">
        <v>211</v>
      </c>
      <c r="D20" s="11" t="s">
        <v>212</v>
      </c>
      <c r="E20" s="11" t="s">
        <v>213</v>
      </c>
      <c r="F20" s="11" t="s">
        <v>214</v>
      </c>
    </row>
    <row r="21" customFormat="false" ht="15" hidden="false" customHeight="false" outlineLevel="0" collapsed="false">
      <c r="A21" s="10" t="s">
        <v>183</v>
      </c>
      <c r="B21" s="19" t="n">
        <f aca="false">Assumptions!B41</f>
        <v>0.3</v>
      </c>
      <c r="C21" s="40" t="n">
        <f aca="false">Assumptions!B42</f>
        <v>1</v>
      </c>
      <c r="D21" s="41" t="n">
        <f aca="false">Assumptions!B43</f>
        <v>0.6</v>
      </c>
      <c r="E21" s="42" t="n">
        <v>0</v>
      </c>
      <c r="F21" s="42" t="n">
        <v>0</v>
      </c>
    </row>
    <row r="22" customFormat="false" ht="15" hidden="false" customHeight="false" outlineLevel="0" collapsed="false">
      <c r="A22" s="10" t="s">
        <v>184</v>
      </c>
      <c r="B22" s="19" t="n">
        <f aca="false">Assumptions!C41</f>
        <v>0.8</v>
      </c>
      <c r="C22" s="40" t="n">
        <f aca="false">Assumptions!C42</f>
        <v>3</v>
      </c>
      <c r="D22" s="41" t="n">
        <f aca="false">Assumptions!C43</f>
        <v>0.8</v>
      </c>
      <c r="E22" s="14" t="n">
        <f aca="false">Assumptions!D34</f>
        <v>25</v>
      </c>
      <c r="F22" s="14" t="n">
        <f aca="false">Assumptions!D35</f>
        <v>10</v>
      </c>
    </row>
    <row r="23" customFormat="false" ht="15" hidden="false" customHeight="false" outlineLevel="0" collapsed="false">
      <c r="A23" s="10" t="s">
        <v>185</v>
      </c>
      <c r="B23" s="19" t="n">
        <f aca="false">Assumptions!D41</f>
        <v>0.9</v>
      </c>
      <c r="C23" s="40" t="n">
        <f aca="false">Assumptions!D42</f>
        <v>4</v>
      </c>
      <c r="D23" s="41" t="n">
        <f aca="false">Assumptions!D43</f>
        <v>0.9</v>
      </c>
      <c r="E23" s="14" t="n">
        <f aca="false">Assumptions!D36</f>
        <v>40</v>
      </c>
      <c r="F23" s="14" t="n">
        <f aca="false">Assumptions!D37</f>
        <v>14</v>
      </c>
    </row>
    <row r="26" customFormat="false" ht="15" hidden="false" customHeight="false" outlineLevel="0" collapsed="false">
      <c r="A26" s="43" t="s">
        <v>215</v>
      </c>
      <c r="B26" s="11" t="s">
        <v>215</v>
      </c>
      <c r="C26" s="11" t="n">
        <v>0</v>
      </c>
      <c r="D26" s="11" t="n">
        <v>1</v>
      </c>
      <c r="E26" s="11" t="n">
        <v>2</v>
      </c>
      <c r="F26" s="11" t="n">
        <v>3</v>
      </c>
      <c r="G26" s="11" t="n">
        <v>4</v>
      </c>
      <c r="H26" s="11" t="n">
        <v>5</v>
      </c>
      <c r="I26" s="11" t="n">
        <v>6</v>
      </c>
      <c r="J26" s="11" t="n">
        <v>7</v>
      </c>
    </row>
    <row r="27" customFormat="false" ht="15" hidden="false" customHeight="false" outlineLevel="0" collapsed="false">
      <c r="A27" s="6" t="s">
        <v>216</v>
      </c>
      <c r="B27" s="6"/>
      <c r="C27" s="44" t="n">
        <f aca="false">(1+$B$16)^C$26</f>
        <v>1</v>
      </c>
      <c r="D27" s="44" t="n">
        <f aca="false">(1+$B$16)^D$26</f>
        <v>1.02</v>
      </c>
      <c r="E27" s="44" t="n">
        <f aca="false">(1+$B$16)^E$26</f>
        <v>1.0404</v>
      </c>
      <c r="F27" s="44" t="n">
        <f aca="false">(1+$B$16)^F$26</f>
        <v>1.061208</v>
      </c>
      <c r="G27" s="44" t="n">
        <f aca="false">(1+$B$16)^G$26</f>
        <v>1.08243216</v>
      </c>
      <c r="H27" s="44" t="n">
        <f aca="false">(1+$B$16)^H$26</f>
        <v>1.1040808032</v>
      </c>
      <c r="I27" s="44" t="n">
        <f aca="false">(1+$B$16)^I$26</f>
        <v>1.126162419264</v>
      </c>
      <c r="J27" s="44" t="n">
        <f aca="false">(1+$B$16)^J$26</f>
        <v>1.14868566764928</v>
      </c>
    </row>
    <row r="28" customFormat="false" ht="15" hidden="false" customHeight="false" outlineLevel="0" collapsed="false">
      <c r="A28" s="6" t="s">
        <v>217</v>
      </c>
      <c r="B28" s="6"/>
      <c r="C28" s="31" t="n">
        <f aca="false">$B$4*C27</f>
        <v>70415.7</v>
      </c>
      <c r="D28" s="31" t="n">
        <f aca="false">$B$4*D27</f>
        <v>71824.014</v>
      </c>
      <c r="E28" s="31" t="n">
        <f aca="false">$B$4*E27</f>
        <v>73260.49428</v>
      </c>
      <c r="F28" s="31" t="n">
        <f aca="false">$B$4*F27</f>
        <v>74725.7041656</v>
      </c>
      <c r="G28" s="31" t="n">
        <f aca="false">$B$4*G27</f>
        <v>76220.218248912</v>
      </c>
      <c r="H28" s="31" t="n">
        <f aca="false">$B$4*H27</f>
        <v>77744.6226138902</v>
      </c>
      <c r="I28" s="31" t="n">
        <f aca="false">$B$4*I27</f>
        <v>79299.5150661681</v>
      </c>
      <c r="J28" s="31" t="n">
        <f aca="false">$B$4*J27</f>
        <v>80885.5053674914</v>
      </c>
    </row>
    <row r="29" customFormat="false" ht="15" hidden="false" customHeight="false" outlineLevel="0" collapsed="false">
      <c r="A29" s="6" t="s">
        <v>218</v>
      </c>
      <c r="B29" s="6"/>
      <c r="C29" s="31" t="n">
        <f aca="false">$B$5*C27</f>
        <v>64619.9</v>
      </c>
      <c r="D29" s="31" t="n">
        <f aca="false">$B$5*D27</f>
        <v>65912.298</v>
      </c>
      <c r="E29" s="31" t="n">
        <f aca="false">$B$5*E27</f>
        <v>67230.54396</v>
      </c>
      <c r="F29" s="31" t="n">
        <f aca="false">$B$5*F27</f>
        <v>68575.1548392</v>
      </c>
      <c r="G29" s="31" t="n">
        <f aca="false">$B$5*G27</f>
        <v>69946.657935984</v>
      </c>
      <c r="H29" s="31" t="n">
        <f aca="false">$B$5*H27</f>
        <v>71345.5910947037</v>
      </c>
      <c r="I29" s="31" t="n">
        <f aca="false">$B$5*I27</f>
        <v>72772.5029165978</v>
      </c>
      <c r="J29" s="31" t="n">
        <f aca="false">$B$5*J27</f>
        <v>74227.9529749297</v>
      </c>
    </row>
    <row r="30" customFormat="false" ht="15" hidden="false" customHeight="false" outlineLevel="0" collapsed="false">
      <c r="A30" s="6" t="s">
        <v>219</v>
      </c>
      <c r="B30" s="6"/>
      <c r="C30" s="44" t="n">
        <f aca="false">1/(1+$B$15)^C$26</f>
        <v>1</v>
      </c>
      <c r="D30" s="44" t="n">
        <f aca="false">1/(1+$B$15)^D$26</f>
        <v>0.925925925925926</v>
      </c>
      <c r="E30" s="44" t="n">
        <f aca="false">1/(1+$B$15)^E$26</f>
        <v>0.857338820301783</v>
      </c>
      <c r="F30" s="44" t="n">
        <f aca="false">1/(1+$B$15)^F$26</f>
        <v>0.79383224102017</v>
      </c>
      <c r="G30" s="44" t="n">
        <f aca="false">1/(1+$B$15)^G$26</f>
        <v>0.735029852796453</v>
      </c>
      <c r="H30" s="44" t="n">
        <f aca="false">1/(1+$B$15)^H$26</f>
        <v>0.680583197033753</v>
      </c>
      <c r="I30" s="44" t="n">
        <f aca="false">1/(1+$B$15)^I$26</f>
        <v>0.630169626883105</v>
      </c>
      <c r="J30" s="44" t="n">
        <f aca="false">1/(1+$B$15)^J$26</f>
        <v>0.583490395262134</v>
      </c>
    </row>
    <row r="31" customFormat="false" ht="15" hidden="false" customHeight="false" outlineLevel="0" collapsed="false">
      <c r="A31" s="6" t="s">
        <v>220</v>
      </c>
      <c r="B31" s="6"/>
      <c r="C31" s="45" t="n">
        <f aca="false">1</f>
        <v>1</v>
      </c>
      <c r="D31" s="45" t="n">
        <f aca="false">$B$17</f>
        <v>1</v>
      </c>
      <c r="E31" s="45" t="n">
        <f aca="false">$B$17</f>
        <v>1</v>
      </c>
      <c r="F31" s="45" t="n">
        <f aca="false">$B$17</f>
        <v>1</v>
      </c>
      <c r="G31" s="45" t="n">
        <f aca="false">$B$17</f>
        <v>1</v>
      </c>
      <c r="H31" s="45" t="n">
        <f aca="false">$B$17</f>
        <v>1</v>
      </c>
      <c r="I31" s="45" t="n">
        <f aca="false">$B$17</f>
        <v>1</v>
      </c>
      <c r="J31" s="45" t="n">
        <f aca="false">$B$17</f>
        <v>1</v>
      </c>
    </row>
    <row r="32" customFormat="false" ht="15" hidden="false" customHeight="false" outlineLevel="0" collapsed="false">
      <c r="A32" s="6" t="s">
        <v>221</v>
      </c>
      <c r="B32" s="6"/>
      <c r="C32" s="31" t="n">
        <f aca="false">C29*$B$7*C31</f>
        <v>19385.97</v>
      </c>
      <c r="D32" s="31" t="n">
        <f aca="false">D29*$B$7*D31</f>
        <v>19773.6894</v>
      </c>
      <c r="E32" s="31" t="n">
        <f aca="false">E29*$B$7*E31</f>
        <v>20169.163188</v>
      </c>
      <c r="F32" s="31" t="n">
        <f aca="false">F29*$B$7*F31</f>
        <v>20572.54645176</v>
      </c>
      <c r="G32" s="31" t="n">
        <f aca="false">G29*$B$7*G31</f>
        <v>20983.9973807952</v>
      </c>
      <c r="H32" s="31" t="n">
        <f aca="false">H29*$B$7*H31</f>
        <v>21403.6773284111</v>
      </c>
      <c r="I32" s="31" t="n">
        <f aca="false">I29*$B$7*I31</f>
        <v>21831.7508749793</v>
      </c>
      <c r="J32" s="31" t="n">
        <f aca="false">J29*$B$7*J31</f>
        <v>22268.3858924789</v>
      </c>
    </row>
    <row r="34" customFormat="false" ht="15" hidden="false" customHeight="false" outlineLevel="0" collapsed="false">
      <c r="A34" s="3" t="s">
        <v>222</v>
      </c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false" outlineLevel="0" collapsed="false">
      <c r="A35" s="6" t="s">
        <v>223</v>
      </c>
      <c r="B35" s="6"/>
      <c r="C35" s="34" t="n">
        <f aca="false">$B$18</f>
        <v>0.3</v>
      </c>
      <c r="D35" s="34" t="n">
        <f aca="false">$B$18+($B$21-$B$18)*MIN(1,D$26/$C$21)</f>
        <v>0.3</v>
      </c>
      <c r="E35" s="34" t="n">
        <f aca="false">$B$18+($B$21-$B$18)*MIN(1,E$26/$C$21)</f>
        <v>0.3</v>
      </c>
      <c r="F35" s="34" t="n">
        <f aca="false">$B$18+($B$21-$B$18)*MIN(1,F$26/$C$21)</f>
        <v>0.3</v>
      </c>
      <c r="G35" s="34" t="n">
        <f aca="false">$B$18+($B$21-$B$18)*MIN(1,G$26/$C$21)</f>
        <v>0.3</v>
      </c>
      <c r="H35" s="34" t="n">
        <f aca="false">$B$18+($B$21-$B$18)*MIN(1,H$26/$C$21)</f>
        <v>0.3</v>
      </c>
      <c r="I35" s="34" t="n">
        <f aca="false">$B$18+($B$21-$B$18)*MIN(1,I$26/$C$21)</f>
        <v>0.3</v>
      </c>
      <c r="J35" s="34" t="n">
        <f aca="false">$B$18+($B$21-$B$18)*MIN(1,J$26/$C$21)</f>
        <v>0.3</v>
      </c>
    </row>
    <row r="36" customFormat="false" ht="15" hidden="false" customHeight="false" outlineLevel="0" collapsed="false">
      <c r="A36" s="6" t="s">
        <v>224</v>
      </c>
      <c r="B36" s="6"/>
      <c r="C36" s="34" t="n">
        <f aca="false">C35*$D$21</f>
        <v>0.18</v>
      </c>
      <c r="D36" s="34" t="n">
        <f aca="false">D35*$D$21</f>
        <v>0.18</v>
      </c>
      <c r="E36" s="34" t="n">
        <f aca="false">E35*$D$21</f>
        <v>0.18</v>
      </c>
      <c r="F36" s="34" t="n">
        <f aca="false">F35*$D$21</f>
        <v>0.18</v>
      </c>
      <c r="G36" s="34" t="n">
        <f aca="false">G35*$D$21</f>
        <v>0.18</v>
      </c>
      <c r="H36" s="34" t="n">
        <f aca="false">H35*$D$21</f>
        <v>0.18</v>
      </c>
      <c r="I36" s="34" t="n">
        <f aca="false">I35*$D$21</f>
        <v>0.18</v>
      </c>
      <c r="J36" s="34" t="n">
        <f aca="false">J35*$D$21</f>
        <v>0.18</v>
      </c>
    </row>
    <row r="37" customFormat="false" ht="15" hidden="false" customHeight="false" outlineLevel="0" collapsed="false">
      <c r="A37" s="6" t="s">
        <v>225</v>
      </c>
      <c r="B37" s="6"/>
      <c r="C37" s="42" t="n">
        <v>0</v>
      </c>
      <c r="D37" s="42" t="n">
        <f aca="false">$B$9*$B$12*$B$8*D$28*(1-D36)</f>
        <v>4.7116553184</v>
      </c>
      <c r="E37" s="42" t="n">
        <f aca="false">$B$9*$B$12*$B$8*E$28*(1-E36)</f>
        <v>4.805888424768</v>
      </c>
      <c r="F37" s="42" t="n">
        <f aca="false">$B$9*$B$12*$B$8*F$28*(1-F36)</f>
        <v>4.90200619326336</v>
      </c>
      <c r="G37" s="42" t="n">
        <f aca="false">$B$9*$B$12*$B$8*G$28*(1-G36)</f>
        <v>5.00004631712863</v>
      </c>
      <c r="H37" s="42" t="n">
        <f aca="false">$B$9*$B$12*$B$8*H$28*(1-H36)</f>
        <v>5.1000472434712</v>
      </c>
      <c r="I37" s="42" t="n">
        <f aca="false">$B$9*$B$12*$B$8*I$28*(1-I36)</f>
        <v>5.20204818834063</v>
      </c>
      <c r="J37" s="42" t="n">
        <f aca="false">$B$9*$B$12*$B$8*J$28*(1-J36)</f>
        <v>5.30608915210744</v>
      </c>
    </row>
    <row r="38" customFormat="false" ht="15" hidden="false" customHeight="false" outlineLevel="0" collapsed="false">
      <c r="A38" s="6" t="s">
        <v>226</v>
      </c>
      <c r="B38" s="6"/>
      <c r="C38" s="42" t="n">
        <v>0</v>
      </c>
      <c r="D38" s="42" t="n">
        <f aca="false">D$32*$B$8*(1-D35)*$B$14*$B$13</f>
        <v>19.9318789152</v>
      </c>
      <c r="E38" s="42" t="n">
        <f aca="false">E$32*$B$8*(1-E35)*$B$14*$B$13</f>
        <v>20.330516493504</v>
      </c>
      <c r="F38" s="42" t="n">
        <f aca="false">F$32*$B$8*(1-F35)*$B$14*$B$13</f>
        <v>20.7371268233741</v>
      </c>
      <c r="G38" s="42" t="n">
        <f aca="false">G$32*$B$8*(1-G35)*$B$14*$B$13</f>
        <v>21.1518693598416</v>
      </c>
      <c r="H38" s="42" t="n">
        <f aca="false">H$32*$B$8*(1-H35)*$B$14*$B$13</f>
        <v>21.5749067470384</v>
      </c>
      <c r="I38" s="42" t="n">
        <f aca="false">I$32*$B$8*(1-I35)*$B$14*$B$13</f>
        <v>22.0064048819792</v>
      </c>
      <c r="J38" s="42" t="n">
        <f aca="false">J$32*$B$8*(1-J35)*$B$14*$B$13</f>
        <v>22.4465329796187</v>
      </c>
    </row>
    <row r="39" customFormat="false" ht="15" hidden="false" customHeight="false" outlineLevel="0" collapsed="false">
      <c r="A39" s="6" t="s">
        <v>227</v>
      </c>
      <c r="B39" s="6"/>
      <c r="C39" s="42" t="n">
        <v>0</v>
      </c>
      <c r="D39" s="42" t="n">
        <f aca="false">$B$10*$B$11*$B$6*D$28*(1-D36)</f>
        <v>35.337414888</v>
      </c>
      <c r="E39" s="42" t="n">
        <f aca="false">$B$10*$B$11*$B$6*E$28*(1-E36)</f>
        <v>36.04416318576</v>
      </c>
      <c r="F39" s="42" t="n">
        <f aca="false">$B$10*$B$11*$B$6*F$28*(1-F36)</f>
        <v>36.7650464494752</v>
      </c>
      <c r="G39" s="42" t="n">
        <f aca="false">$B$10*$B$11*$B$6*G$28*(1-G36)</f>
        <v>37.5003473784647</v>
      </c>
      <c r="H39" s="42" t="n">
        <f aca="false">$B$10*$B$11*$B$6*H$28*(1-H36)</f>
        <v>38.250354326034</v>
      </c>
      <c r="I39" s="42" t="n">
        <f aca="false">$B$10*$B$11*$B$6*I$28*(1-I36)</f>
        <v>39.0153614125547</v>
      </c>
      <c r="J39" s="42" t="n">
        <f aca="false">$B$10*$B$11*$B$6*J$28*(1-J36)</f>
        <v>39.7956686408058</v>
      </c>
    </row>
    <row r="40" customFormat="false" ht="15" hidden="false" customHeight="false" outlineLevel="0" collapsed="false">
      <c r="A40" s="6" t="s">
        <v>228</v>
      </c>
      <c r="B40" s="6"/>
      <c r="C40" s="42" t="n">
        <v>0</v>
      </c>
      <c r="D40" s="42" t="n">
        <f aca="false">$F$21*D$27</f>
        <v>0</v>
      </c>
      <c r="E40" s="42" t="n">
        <f aca="false">$F$21*E$27</f>
        <v>0</v>
      </c>
      <c r="F40" s="42" t="n">
        <f aca="false">$F$21*F$27</f>
        <v>0</v>
      </c>
      <c r="G40" s="42" t="n">
        <f aca="false">$F$21*G$27</f>
        <v>0</v>
      </c>
      <c r="H40" s="42" t="n">
        <f aca="false">$F$21*H$27</f>
        <v>0</v>
      </c>
      <c r="I40" s="42" t="n">
        <f aca="false">$F$21*I$27</f>
        <v>0</v>
      </c>
      <c r="J40" s="42" t="n">
        <f aca="false">$F$21*J$27</f>
        <v>0</v>
      </c>
    </row>
    <row r="41" customFormat="false" ht="15" hidden="false" customHeight="false" outlineLevel="0" collapsed="false">
      <c r="A41" s="6" t="s">
        <v>229</v>
      </c>
      <c r="B41" s="6"/>
      <c r="C41" s="42" t="n">
        <f aca="false">$E$21</f>
        <v>0</v>
      </c>
      <c r="D41" s="42" t="n">
        <v>0</v>
      </c>
      <c r="E41" s="42" t="n">
        <v>0</v>
      </c>
      <c r="F41" s="42" t="n">
        <v>0</v>
      </c>
      <c r="G41" s="42" t="n">
        <v>0</v>
      </c>
      <c r="H41" s="42" t="n">
        <v>0</v>
      </c>
      <c r="I41" s="42" t="n">
        <v>0</v>
      </c>
      <c r="J41" s="42" t="n">
        <v>0</v>
      </c>
    </row>
    <row r="42" customFormat="false" ht="15" hidden="false" customHeight="false" outlineLevel="0" collapsed="false">
      <c r="A42" s="6" t="s">
        <v>230</v>
      </c>
      <c r="B42" s="6"/>
      <c r="C42" s="46" t="n">
        <f aca="false">SUM(C37:C41)</f>
        <v>0</v>
      </c>
      <c r="D42" s="46" t="n">
        <f aca="false">SUM(D37:D41)</f>
        <v>59.9809491216</v>
      </c>
      <c r="E42" s="46" t="n">
        <f aca="false">SUM(E37:E41)</f>
        <v>61.180568104032</v>
      </c>
      <c r="F42" s="46" t="n">
        <f aca="false">SUM(F37:F41)</f>
        <v>62.4041794661126</v>
      </c>
      <c r="G42" s="46" t="n">
        <f aca="false">SUM(G37:G41)</f>
        <v>63.6522630554349</v>
      </c>
      <c r="H42" s="46" t="n">
        <f aca="false">SUM(H37:H41)</f>
        <v>64.9253083165436</v>
      </c>
      <c r="I42" s="46" t="n">
        <f aca="false">SUM(I37:I41)</f>
        <v>66.2238144828745</v>
      </c>
      <c r="J42" s="46" t="n">
        <f aca="false">SUM(J37:J41)</f>
        <v>67.548290772532</v>
      </c>
    </row>
    <row r="43" customFormat="false" ht="15" hidden="false" customHeight="false" outlineLevel="0" collapsed="false">
      <c r="A43" s="6" t="s">
        <v>231</v>
      </c>
      <c r="B43" s="6"/>
      <c r="C43" s="42" t="n">
        <f aca="false">C42*C$30</f>
        <v>0</v>
      </c>
      <c r="D43" s="42" t="n">
        <f aca="false">D42*D$30</f>
        <v>55.5379158533333</v>
      </c>
      <c r="E43" s="42" t="n">
        <f aca="false">E42*E$30</f>
        <v>52.4524760837037</v>
      </c>
      <c r="F43" s="42" t="n">
        <f aca="false">F42*F$30</f>
        <v>49.5384496346091</v>
      </c>
      <c r="G43" s="42" t="n">
        <f aca="false">G42*G$30</f>
        <v>46.7863135437974</v>
      </c>
      <c r="H43" s="42" t="n">
        <f aca="false">H42*H$30</f>
        <v>44.1870739024754</v>
      </c>
      <c r="I43" s="42" t="n">
        <f aca="false">I42*I$30</f>
        <v>41.7322364634489</v>
      </c>
      <c r="J43" s="42" t="n">
        <f aca="false">J42*J$30</f>
        <v>39.4137788821462</v>
      </c>
    </row>
    <row r="45" customFormat="false" ht="15" hidden="false" customHeight="false" outlineLevel="0" collapsed="false">
      <c r="A45" s="3" t="s">
        <v>232</v>
      </c>
      <c r="B45" s="4"/>
      <c r="C45" s="4"/>
      <c r="D45" s="4"/>
      <c r="E45" s="4"/>
      <c r="F45" s="4"/>
      <c r="G45" s="4"/>
      <c r="H45" s="4"/>
      <c r="I45" s="4"/>
      <c r="J45" s="4"/>
    </row>
    <row r="46" customFormat="false" ht="15" hidden="false" customHeight="false" outlineLevel="0" collapsed="false">
      <c r="A46" s="6" t="s">
        <v>223</v>
      </c>
      <c r="B46" s="6"/>
      <c r="C46" s="34" t="n">
        <f aca="false">$B$18</f>
        <v>0.3</v>
      </c>
      <c r="D46" s="34" t="n">
        <f aca="false">$B$18+($B$22-$B$18)*MIN(1,D$26/$C$22)</f>
        <v>0.466666666666667</v>
      </c>
      <c r="E46" s="34" t="n">
        <f aca="false">$B$18+($B$22-$B$18)*MIN(1,E$26/$C$22)</f>
        <v>0.633333333333333</v>
      </c>
      <c r="F46" s="34" t="n">
        <f aca="false">$B$18+($B$22-$B$18)*MIN(1,F$26/$C$22)</f>
        <v>0.8</v>
      </c>
      <c r="G46" s="34" t="n">
        <f aca="false">$B$18+($B$22-$B$18)*MIN(1,G$26/$C$22)</f>
        <v>0.8</v>
      </c>
      <c r="H46" s="34" t="n">
        <f aca="false">$B$18+($B$22-$B$18)*MIN(1,H$26/$C$22)</f>
        <v>0.8</v>
      </c>
      <c r="I46" s="34" t="n">
        <f aca="false">$B$18+($B$22-$B$18)*MIN(1,I$26/$C$22)</f>
        <v>0.8</v>
      </c>
      <c r="J46" s="34" t="n">
        <f aca="false">$B$18+($B$22-$B$18)*MIN(1,J$26/$C$22)</f>
        <v>0.8</v>
      </c>
    </row>
    <row r="47" customFormat="false" ht="15" hidden="false" customHeight="false" outlineLevel="0" collapsed="false">
      <c r="A47" s="6" t="s">
        <v>224</v>
      </c>
      <c r="B47" s="6"/>
      <c r="C47" s="34" t="n">
        <f aca="false">C46*$D$22</f>
        <v>0.24</v>
      </c>
      <c r="D47" s="34" t="n">
        <f aca="false">D46*$D$22</f>
        <v>0.373333333333333</v>
      </c>
      <c r="E47" s="34" t="n">
        <f aca="false">E46*$D$22</f>
        <v>0.506666666666667</v>
      </c>
      <c r="F47" s="34" t="n">
        <f aca="false">F46*$D$22</f>
        <v>0.64</v>
      </c>
      <c r="G47" s="34" t="n">
        <f aca="false">G46*$D$22</f>
        <v>0.64</v>
      </c>
      <c r="H47" s="34" t="n">
        <f aca="false">H46*$D$22</f>
        <v>0.64</v>
      </c>
      <c r="I47" s="34" t="n">
        <f aca="false">I46*$D$22</f>
        <v>0.64</v>
      </c>
      <c r="J47" s="34" t="n">
        <f aca="false">J46*$D$22</f>
        <v>0.64</v>
      </c>
    </row>
    <row r="48" customFormat="false" ht="15" hidden="false" customHeight="false" outlineLevel="0" collapsed="false">
      <c r="A48" s="6" t="s">
        <v>225</v>
      </c>
      <c r="B48" s="6"/>
      <c r="C48" s="42" t="n">
        <v>0</v>
      </c>
      <c r="D48" s="42" t="n">
        <f aca="false">$B$9*$B$12*$B$8*D$28*(1-D47)</f>
        <v>3.6007772352</v>
      </c>
      <c r="E48" s="42" t="n">
        <f aca="false">$B$9*$B$12*$B$8*E$28*(1-E47)</f>
        <v>2.891347507584</v>
      </c>
      <c r="F48" s="42" t="n">
        <f aca="false">$B$9*$B$12*$B$8*F$28*(1-F47)</f>
        <v>2.15210027996928</v>
      </c>
      <c r="G48" s="42" t="n">
        <f aca="false">$B$9*$B$12*$B$8*G$28*(1-G47)</f>
        <v>2.19514228556867</v>
      </c>
      <c r="H48" s="42" t="n">
        <f aca="false">$B$9*$B$12*$B$8*H$28*(1-H47)</f>
        <v>2.23904513128004</v>
      </c>
      <c r="I48" s="42" t="n">
        <f aca="false">$B$9*$B$12*$B$8*I$28*(1-I47)</f>
        <v>2.28382603390564</v>
      </c>
      <c r="J48" s="42" t="n">
        <f aca="false">$B$9*$B$12*$B$8*J$28*(1-J47)</f>
        <v>2.32950255458375</v>
      </c>
    </row>
    <row r="49" customFormat="false" ht="15" hidden="false" customHeight="false" outlineLevel="0" collapsed="false">
      <c r="A49" s="6" t="s">
        <v>226</v>
      </c>
      <c r="B49" s="6"/>
      <c r="C49" s="42" t="n">
        <v>0</v>
      </c>
      <c r="D49" s="42" t="n">
        <f aca="false">D$32*$B$8*(1-D46)*$B$14*$B$13</f>
        <v>15.1861934592</v>
      </c>
      <c r="E49" s="42" t="n">
        <f aca="false">E$32*$B$8*(1-E46)*$B$14*$B$13</f>
        <v>10.649318163264</v>
      </c>
      <c r="F49" s="42" t="n">
        <f aca="false">F$32*$B$8*(1-F46)*$B$14*$B$13</f>
        <v>5.92489337810688</v>
      </c>
      <c r="G49" s="42" t="n">
        <f aca="false">G$32*$B$8*(1-G46)*$B$14*$B$13</f>
        <v>6.04339124566902</v>
      </c>
      <c r="H49" s="42" t="n">
        <f aca="false">H$32*$B$8*(1-H46)*$B$14*$B$13</f>
        <v>6.1642590705824</v>
      </c>
      <c r="I49" s="42" t="n">
        <f aca="false">I$32*$B$8*(1-I46)*$B$14*$B$13</f>
        <v>6.28754425199404</v>
      </c>
      <c r="J49" s="42" t="n">
        <f aca="false">J$32*$B$8*(1-J46)*$B$14*$B$13</f>
        <v>6.41329513703392</v>
      </c>
    </row>
    <row r="50" customFormat="false" ht="15" hidden="false" customHeight="false" outlineLevel="0" collapsed="false">
      <c r="A50" s="6" t="s">
        <v>227</v>
      </c>
      <c r="B50" s="6"/>
      <c r="C50" s="42" t="n">
        <v>0</v>
      </c>
      <c r="D50" s="42" t="n">
        <f aca="false">$B$10*$B$11*$B$6*D$28*(1-D47)</f>
        <v>27.005829264</v>
      </c>
      <c r="E50" s="42" t="n">
        <f aca="false">$B$10*$B$11*$B$6*E$28*(1-E47)</f>
        <v>21.68510630688</v>
      </c>
      <c r="F50" s="42" t="n">
        <f aca="false">$B$10*$B$11*$B$6*F$28*(1-F47)</f>
        <v>16.1407520997696</v>
      </c>
      <c r="G50" s="42" t="n">
        <f aca="false">$B$10*$B$11*$B$6*G$28*(1-G47)</f>
        <v>16.463567141765</v>
      </c>
      <c r="H50" s="42" t="n">
        <f aca="false">$B$10*$B$11*$B$6*H$28*(1-H47)</f>
        <v>16.7928384846003</v>
      </c>
      <c r="I50" s="42" t="n">
        <f aca="false">$B$10*$B$11*$B$6*I$28*(1-I47)</f>
        <v>17.1286952542923</v>
      </c>
      <c r="J50" s="42" t="n">
        <f aca="false">$B$10*$B$11*$B$6*J$28*(1-J47)</f>
        <v>17.4712691593781</v>
      </c>
    </row>
    <row r="51" customFormat="false" ht="15" hidden="false" customHeight="false" outlineLevel="0" collapsed="false">
      <c r="A51" s="6" t="s">
        <v>228</v>
      </c>
      <c r="B51" s="6"/>
      <c r="C51" s="42" t="n">
        <v>0</v>
      </c>
      <c r="D51" s="42" t="n">
        <f aca="false">$F$22*D$27</f>
        <v>10.2</v>
      </c>
      <c r="E51" s="42" t="n">
        <f aca="false">$F$22*E$27</f>
        <v>10.404</v>
      </c>
      <c r="F51" s="42" t="n">
        <f aca="false">$F$22*F$27</f>
        <v>10.61208</v>
      </c>
      <c r="G51" s="42" t="n">
        <f aca="false">$F$22*G$27</f>
        <v>10.8243216</v>
      </c>
      <c r="H51" s="42" t="n">
        <f aca="false">$F$22*H$27</f>
        <v>11.040808032</v>
      </c>
      <c r="I51" s="42" t="n">
        <f aca="false">$F$22*I$27</f>
        <v>11.26162419264</v>
      </c>
      <c r="J51" s="42" t="n">
        <f aca="false">$F$22*J$27</f>
        <v>11.4868566764928</v>
      </c>
    </row>
    <row r="52" customFormat="false" ht="15" hidden="false" customHeight="false" outlineLevel="0" collapsed="false">
      <c r="A52" s="6" t="s">
        <v>229</v>
      </c>
      <c r="B52" s="6"/>
      <c r="C52" s="42" t="n">
        <f aca="false">$E$22</f>
        <v>25</v>
      </c>
      <c r="D52" s="42" t="n">
        <v>0</v>
      </c>
      <c r="E52" s="42" t="n">
        <v>0</v>
      </c>
      <c r="F52" s="42" t="n">
        <v>0</v>
      </c>
      <c r="G52" s="42" t="n">
        <v>0</v>
      </c>
      <c r="H52" s="42" t="n">
        <v>0</v>
      </c>
      <c r="I52" s="42" t="n">
        <v>0</v>
      </c>
      <c r="J52" s="42" t="n">
        <v>0</v>
      </c>
    </row>
    <row r="53" customFormat="false" ht="15" hidden="false" customHeight="false" outlineLevel="0" collapsed="false">
      <c r="A53" s="6" t="s">
        <v>230</v>
      </c>
      <c r="B53" s="6"/>
      <c r="C53" s="46" t="n">
        <f aca="false">SUM(C48:C52)</f>
        <v>25</v>
      </c>
      <c r="D53" s="46" t="n">
        <f aca="false">SUM(D48:D52)</f>
        <v>55.9927999584</v>
      </c>
      <c r="E53" s="46" t="n">
        <f aca="false">SUM(E48:E52)</f>
        <v>45.629771977728</v>
      </c>
      <c r="F53" s="46" t="n">
        <f aca="false">SUM(F48:F52)</f>
        <v>34.8298257578458</v>
      </c>
      <c r="G53" s="46" t="n">
        <f aca="false">SUM(G48:G52)</f>
        <v>35.5264222730027</v>
      </c>
      <c r="H53" s="46" t="n">
        <f aca="false">SUM(H48:H52)</f>
        <v>36.2369507184627</v>
      </c>
      <c r="I53" s="46" t="n">
        <f aca="false">SUM(I48:I52)</f>
        <v>36.961689732832</v>
      </c>
      <c r="J53" s="46" t="n">
        <f aca="false">SUM(J48:J52)</f>
        <v>37.7009235274886</v>
      </c>
    </row>
    <row r="54" customFormat="false" ht="15" hidden="false" customHeight="false" outlineLevel="0" collapsed="false">
      <c r="A54" s="6" t="s">
        <v>231</v>
      </c>
      <c r="B54" s="6"/>
      <c r="C54" s="42" t="n">
        <f aca="false">C53*C$30</f>
        <v>25</v>
      </c>
      <c r="D54" s="42" t="n">
        <f aca="false">D53*D$30</f>
        <v>51.8451851466667</v>
      </c>
      <c r="E54" s="42" t="n">
        <f aca="false">E53*E$30</f>
        <v>39.1201748780247</v>
      </c>
      <c r="F54" s="42" t="n">
        <f aca="false">F53*F$30</f>
        <v>27.6490386356927</v>
      </c>
      <c r="G54" s="42" t="n">
        <f aca="false">G53*G$30</f>
        <v>26.1129809337098</v>
      </c>
      <c r="H54" s="42" t="n">
        <f aca="false">H53*H$30</f>
        <v>24.6622597707259</v>
      </c>
      <c r="I54" s="42" t="n">
        <f aca="false">I53*I$30</f>
        <v>23.2921342279078</v>
      </c>
      <c r="J54" s="42" t="n">
        <f aca="false">J53*J$30</f>
        <v>21.9981267708018</v>
      </c>
    </row>
    <row r="56" customFormat="false" ht="15" hidden="false" customHeight="false" outlineLevel="0" collapsed="false">
      <c r="A56" s="3" t="s">
        <v>233</v>
      </c>
      <c r="B56" s="4"/>
      <c r="C56" s="4"/>
      <c r="D56" s="4"/>
      <c r="E56" s="4"/>
      <c r="F56" s="4"/>
      <c r="G56" s="4"/>
      <c r="H56" s="4"/>
      <c r="I56" s="4"/>
      <c r="J56" s="4"/>
    </row>
    <row r="57" customFormat="false" ht="15" hidden="false" customHeight="false" outlineLevel="0" collapsed="false">
      <c r="A57" s="6" t="s">
        <v>223</v>
      </c>
      <c r="B57" s="6"/>
      <c r="C57" s="34" t="n">
        <f aca="false">$B$18</f>
        <v>0.3</v>
      </c>
      <c r="D57" s="34" t="n">
        <f aca="false">$B$18+($B$23-$B$18)*MIN(1,D$26/$C$23)</f>
        <v>0.45</v>
      </c>
      <c r="E57" s="34" t="n">
        <f aca="false">$B$18+($B$23-$B$18)*MIN(1,E$26/$C$23)</f>
        <v>0.6</v>
      </c>
      <c r="F57" s="34" t="n">
        <f aca="false">$B$18+($B$23-$B$18)*MIN(1,F$26/$C$23)</f>
        <v>0.75</v>
      </c>
      <c r="G57" s="34" t="n">
        <f aca="false">$B$18+($B$23-$B$18)*MIN(1,G$26/$C$23)</f>
        <v>0.9</v>
      </c>
      <c r="H57" s="34" t="n">
        <f aca="false">$B$18+($B$23-$B$18)*MIN(1,H$26/$C$23)</f>
        <v>0.9</v>
      </c>
      <c r="I57" s="34" t="n">
        <f aca="false">$B$18+($B$23-$B$18)*MIN(1,I$26/$C$23)</f>
        <v>0.9</v>
      </c>
      <c r="J57" s="34" t="n">
        <f aca="false">$B$18+($B$23-$B$18)*MIN(1,J$26/$C$23)</f>
        <v>0.9</v>
      </c>
    </row>
    <row r="58" customFormat="false" ht="15" hidden="false" customHeight="false" outlineLevel="0" collapsed="false">
      <c r="A58" s="6" t="s">
        <v>224</v>
      </c>
      <c r="B58" s="6"/>
      <c r="C58" s="34" t="n">
        <f aca="false">C57*$D$23</f>
        <v>0.27</v>
      </c>
      <c r="D58" s="34" t="n">
        <f aca="false">D57*$D$23</f>
        <v>0.405</v>
      </c>
      <c r="E58" s="34" t="n">
        <f aca="false">E57*$D$23</f>
        <v>0.54</v>
      </c>
      <c r="F58" s="34" t="n">
        <f aca="false">F57*$D$23</f>
        <v>0.675</v>
      </c>
      <c r="G58" s="34" t="n">
        <f aca="false">G57*$D$23</f>
        <v>0.81</v>
      </c>
      <c r="H58" s="34" t="n">
        <f aca="false">H57*$D$23</f>
        <v>0.81</v>
      </c>
      <c r="I58" s="34" t="n">
        <f aca="false">I57*$D$23</f>
        <v>0.81</v>
      </c>
      <c r="J58" s="34" t="n">
        <f aca="false">J57*$D$23</f>
        <v>0.81</v>
      </c>
    </row>
    <row r="59" customFormat="false" ht="15" hidden="false" customHeight="false" outlineLevel="0" collapsed="false">
      <c r="A59" s="6" t="s">
        <v>225</v>
      </c>
      <c r="B59" s="6"/>
      <c r="C59" s="42" t="n">
        <v>0</v>
      </c>
      <c r="D59" s="42" t="n">
        <f aca="false">$B$9*$B$12*$B$8*D$28*(1-D58)</f>
        <v>3.4188230664</v>
      </c>
      <c r="E59" s="42" t="n">
        <f aca="false">$B$9*$B$12*$B$8*E$28*(1-E58)</f>
        <v>2.695986189504</v>
      </c>
      <c r="F59" s="42" t="n">
        <f aca="false">$B$9*$B$12*$B$8*F$28*(1-F58)</f>
        <v>1.9428683083056</v>
      </c>
      <c r="G59" s="42" t="n">
        <f aca="false">$B$9*$B$12*$B$8*G$28*(1-G58)</f>
        <v>1.15854731738346</v>
      </c>
      <c r="H59" s="42" t="n">
        <f aca="false">$B$9*$B$12*$B$8*H$28*(1-H58)</f>
        <v>1.18171826373113</v>
      </c>
      <c r="I59" s="42" t="n">
        <f aca="false">$B$9*$B$12*$B$8*I$28*(1-I58)</f>
        <v>1.20535262900575</v>
      </c>
      <c r="J59" s="42" t="n">
        <f aca="false">$B$9*$B$12*$B$8*J$28*(1-J58)</f>
        <v>1.22945968158587</v>
      </c>
    </row>
    <row r="60" customFormat="false" ht="15" hidden="false" customHeight="false" outlineLevel="0" collapsed="false">
      <c r="A60" s="6" t="s">
        <v>226</v>
      </c>
      <c r="B60" s="6"/>
      <c r="C60" s="42" t="n">
        <v>0</v>
      </c>
      <c r="D60" s="42" t="n">
        <f aca="false">D$32*$B$8*(1-D57)*$B$14*$B$13</f>
        <v>15.6607620048</v>
      </c>
      <c r="E60" s="42" t="n">
        <f aca="false">E$32*$B$8*(1-E57)*$B$14*$B$13</f>
        <v>11.617437996288</v>
      </c>
      <c r="F60" s="42" t="n">
        <f aca="false">F$32*$B$8*(1-F57)*$B$14*$B$13</f>
        <v>7.4061167226336</v>
      </c>
      <c r="G60" s="42" t="n">
        <f aca="false">G$32*$B$8*(1-G57)*$B$14*$B$13</f>
        <v>3.0216956228345</v>
      </c>
      <c r="H60" s="42" t="n">
        <f aca="false">H$32*$B$8*(1-H57)*$B$14*$B$13</f>
        <v>3.08212953529119</v>
      </c>
      <c r="I60" s="42" t="n">
        <f aca="false">I$32*$B$8*(1-I57)*$B$14*$B$13</f>
        <v>3.14377212599702</v>
      </c>
      <c r="J60" s="42" t="n">
        <f aca="false">J$32*$B$8*(1-J57)*$B$14*$B$13</f>
        <v>3.20664756851696</v>
      </c>
    </row>
    <row r="61" customFormat="false" ht="15" hidden="false" customHeight="false" outlineLevel="0" collapsed="false">
      <c r="A61" s="6" t="s">
        <v>227</v>
      </c>
      <c r="B61" s="6"/>
      <c r="C61" s="42" t="n">
        <v>0</v>
      </c>
      <c r="D61" s="42" t="n">
        <f aca="false">$B$10*$B$11*$B$6*D$28*(1-D58)</f>
        <v>25.641172998</v>
      </c>
      <c r="E61" s="42" t="n">
        <f aca="false">$B$10*$B$11*$B$6*E$28*(1-E58)</f>
        <v>20.21989642128</v>
      </c>
      <c r="F61" s="42" t="n">
        <f aca="false">$B$10*$B$11*$B$6*F$28*(1-F58)</f>
        <v>14.571512312292</v>
      </c>
      <c r="G61" s="42" t="n">
        <f aca="false">$B$10*$B$11*$B$6*G$28*(1-G58)</f>
        <v>8.68910488037596</v>
      </c>
      <c r="H61" s="42" t="n">
        <f aca="false">$B$10*$B$11*$B$6*H$28*(1-H58)</f>
        <v>8.86288697798348</v>
      </c>
      <c r="I61" s="42" t="n">
        <f aca="false">$B$10*$B$11*$B$6*I$28*(1-I58)</f>
        <v>9.04014471754315</v>
      </c>
      <c r="J61" s="42" t="n">
        <f aca="false">$B$10*$B$11*$B$6*J$28*(1-J58)</f>
        <v>9.22094761189401</v>
      </c>
    </row>
    <row r="62" customFormat="false" ht="15" hidden="false" customHeight="false" outlineLevel="0" collapsed="false">
      <c r="A62" s="6" t="s">
        <v>228</v>
      </c>
      <c r="B62" s="6"/>
      <c r="C62" s="42" t="n">
        <v>0</v>
      </c>
      <c r="D62" s="42" t="n">
        <f aca="false">$F$23*D$27</f>
        <v>14.28</v>
      </c>
      <c r="E62" s="42" t="n">
        <f aca="false">$F$23*E$27</f>
        <v>14.5656</v>
      </c>
      <c r="F62" s="42" t="n">
        <f aca="false">$F$23*F$27</f>
        <v>14.856912</v>
      </c>
      <c r="G62" s="42" t="n">
        <f aca="false">$F$23*G$27</f>
        <v>15.15405024</v>
      </c>
      <c r="H62" s="42" t="n">
        <f aca="false">$F$23*H$27</f>
        <v>15.4571312448</v>
      </c>
      <c r="I62" s="42" t="n">
        <f aca="false">$F$23*I$27</f>
        <v>15.766273869696</v>
      </c>
      <c r="J62" s="42" t="n">
        <f aca="false">$F$23*J$27</f>
        <v>16.0815993470899</v>
      </c>
    </row>
    <row r="63" customFormat="false" ht="15" hidden="false" customHeight="false" outlineLevel="0" collapsed="false">
      <c r="A63" s="6" t="s">
        <v>229</v>
      </c>
      <c r="B63" s="6"/>
      <c r="C63" s="42" t="n">
        <f aca="false">$E$23</f>
        <v>40</v>
      </c>
      <c r="D63" s="42" t="n">
        <v>0</v>
      </c>
      <c r="E63" s="42" t="n">
        <v>0</v>
      </c>
      <c r="F63" s="42" t="n">
        <v>0</v>
      </c>
      <c r="G63" s="42" t="n">
        <v>0</v>
      </c>
      <c r="H63" s="42" t="n">
        <v>0</v>
      </c>
      <c r="I63" s="42" t="n">
        <v>0</v>
      </c>
      <c r="J63" s="42" t="n">
        <v>0</v>
      </c>
    </row>
    <row r="64" customFormat="false" ht="15" hidden="false" customHeight="false" outlineLevel="0" collapsed="false">
      <c r="A64" s="6" t="s">
        <v>230</v>
      </c>
      <c r="B64" s="6"/>
      <c r="C64" s="46" t="n">
        <f aca="false">SUM(C59:C63)</f>
        <v>40</v>
      </c>
      <c r="D64" s="46" t="n">
        <f aca="false">SUM(D59:D63)</f>
        <v>59.0007580692</v>
      </c>
      <c r="E64" s="46" t="n">
        <f aca="false">SUM(E59:E63)</f>
        <v>49.098920607072</v>
      </c>
      <c r="F64" s="46" t="n">
        <f aca="false">SUM(F59:F63)</f>
        <v>38.7774093432312</v>
      </c>
      <c r="G64" s="46" t="n">
        <f aca="false">SUM(G59:G63)</f>
        <v>28.0233980605939</v>
      </c>
      <c r="H64" s="46" t="n">
        <f aca="false">SUM(H59:H63)</f>
        <v>28.5838660218058</v>
      </c>
      <c r="I64" s="46" t="n">
        <f aca="false">SUM(I59:I63)</f>
        <v>29.1555433422419</v>
      </c>
      <c r="J64" s="46" t="n">
        <f aca="false">SUM(J59:J63)</f>
        <v>29.7386542090868</v>
      </c>
    </row>
    <row r="65" customFormat="false" ht="15" hidden="false" customHeight="false" outlineLevel="0" collapsed="false">
      <c r="A65" s="6" t="s">
        <v>231</v>
      </c>
      <c r="B65" s="6"/>
      <c r="C65" s="42" t="n">
        <f aca="false">C64*C$30</f>
        <v>40</v>
      </c>
      <c r="D65" s="42" t="n">
        <f aca="false">D64*D$30</f>
        <v>54.6303315455556</v>
      </c>
      <c r="E65" s="42" t="n">
        <f aca="false">E64*E$30</f>
        <v>42.094410671358</v>
      </c>
      <c r="F65" s="42" t="n">
        <f aca="false">F64*F$30</f>
        <v>30.7827577598937</v>
      </c>
      <c r="G65" s="42" t="n">
        <f aca="false">G64*G$30</f>
        <v>20.5980341513348</v>
      </c>
      <c r="H65" s="42" t="n">
        <f aca="false">H64*H$30</f>
        <v>19.4536989207051</v>
      </c>
      <c r="I65" s="42" t="n">
        <f aca="false">I64*I$30</f>
        <v>18.3729378695548</v>
      </c>
      <c r="J65" s="42" t="n">
        <f aca="false">J64*J$30</f>
        <v>17.352219099024</v>
      </c>
    </row>
    <row r="68" customFormat="false" ht="15" hidden="false" customHeight="false" outlineLevel="0" collapsed="false">
      <c r="A68" s="3" t="s">
        <v>234</v>
      </c>
      <c r="B68" s="4"/>
      <c r="C68" s="4"/>
      <c r="D68" s="4"/>
      <c r="E68" s="4"/>
      <c r="F68" s="4"/>
      <c r="G68" s="4"/>
      <c r="H68" s="4"/>
      <c r="I68" s="4"/>
      <c r="J68" s="4"/>
    </row>
    <row r="69" customFormat="false" ht="43.5" hidden="false" customHeight="true" outlineLevel="0" collapsed="false">
      <c r="A69" s="11" t="s">
        <v>235</v>
      </c>
      <c r="B69" s="11" t="s">
        <v>236</v>
      </c>
      <c r="C69" s="11" t="s">
        <v>237</v>
      </c>
      <c r="D69" s="11" t="s">
        <v>238</v>
      </c>
      <c r="E69" s="11" t="s">
        <v>239</v>
      </c>
      <c r="F69" s="11" t="s">
        <v>240</v>
      </c>
      <c r="G69" s="11" t="s">
        <v>241</v>
      </c>
      <c r="H69" s="11" t="s">
        <v>242</v>
      </c>
      <c r="I69" s="11" t="s">
        <v>243</v>
      </c>
    </row>
    <row r="70" customFormat="false" ht="15" hidden="false" customHeight="false" outlineLevel="0" collapsed="false">
      <c r="A70" s="10" t="s">
        <v>183</v>
      </c>
      <c r="B70" s="42" t="n">
        <f aca="false">SUMPRODUCT((C37:J37+C38:J38+C39:J39)*$C$30:$J$30)</f>
        <v>329.648244363514</v>
      </c>
      <c r="C70" s="42" t="n">
        <f aca="false">SUMPRODUCT((C40:J40+C41:J41)*$C$30:$J$30)</f>
        <v>0</v>
      </c>
      <c r="D70" s="42" t="n">
        <f aca="false">SUM(C43:J43)</f>
        <v>329.648244363514</v>
      </c>
      <c r="E70" s="6"/>
      <c r="F70" s="6"/>
      <c r="G70" s="6"/>
      <c r="H70" s="6"/>
      <c r="I70" s="6"/>
    </row>
    <row r="71" customFormat="false" ht="15" hidden="false" customHeight="false" outlineLevel="0" collapsed="false">
      <c r="A71" s="10" t="s">
        <v>184</v>
      </c>
      <c r="B71" s="42" t="n">
        <f aca="false">SUMPRODUCT((C48:J48+C49:J49+C50:J50)*$C$30:$J$30)</f>
        <v>158.621899585796</v>
      </c>
      <c r="C71" s="42" t="n">
        <f aca="false">SUMPRODUCT((C51:J51+C52:J52)*$C$30:$J$30)</f>
        <v>81.0580007777334</v>
      </c>
      <c r="D71" s="42" t="n">
        <f aca="false">SUM(C54:J54)</f>
        <v>239.679900363529</v>
      </c>
      <c r="E71" s="47" t="n">
        <f aca="false">$D$70-D71</f>
        <v>89.9683439999847</v>
      </c>
      <c r="F71" s="42" t="n">
        <f aca="false">$B$70-B71</f>
        <v>171.026344777718</v>
      </c>
      <c r="G71" s="28" t="n">
        <f aca="false">IF(C71=0,0,F71/C71)</f>
        <v>2.10992552415256</v>
      </c>
      <c r="H71" s="48" t="n">
        <f aca="false">IFERROR(MAX(0,1-E71/SUMPRODUCT((C37:J37-C48:J48)*$C$30:$J$30)),0)</f>
        <v>0</v>
      </c>
      <c r="I71" s="49" t="n">
        <f aca="false">IF(MIN(C77:J77)=99,"&gt; 7",MIN(C77:J77))</f>
        <v>3</v>
      </c>
    </row>
    <row r="72" customFormat="false" ht="15" hidden="false" customHeight="false" outlineLevel="0" collapsed="false">
      <c r="A72" s="10" t="s">
        <v>185</v>
      </c>
      <c r="B72" s="42" t="n">
        <f aca="false">SUMPRODUCT((C59:J59+C60:J60+C61:J61)*$C$30:$J$30)</f>
        <v>124.803188928599</v>
      </c>
      <c r="C72" s="42" t="n">
        <f aca="false">SUMPRODUCT((C62:J62+C63:J63)*$C$30:$J$30)</f>
        <v>118.481201088827</v>
      </c>
      <c r="D72" s="42" t="n">
        <f aca="false">SUM(C65:J65)</f>
        <v>243.284390017426</v>
      </c>
      <c r="E72" s="47" t="n">
        <f aca="false">$D$70-D72</f>
        <v>86.3638543460882</v>
      </c>
      <c r="F72" s="42" t="n">
        <f aca="false">$B$70-B72</f>
        <v>204.845055434915</v>
      </c>
      <c r="G72" s="28" t="n">
        <f aca="false">IF(C72=0,0,F72/C72)</f>
        <v>1.7289245344613</v>
      </c>
      <c r="H72" s="48" t="n">
        <f aca="false">IFERROR(MAX(0,1-E72/SUMPRODUCT((C37:J37-C59:J59)*$C$30:$J$30)),0)</f>
        <v>0</v>
      </c>
      <c r="I72" s="49" t="n">
        <f aca="false">IF(MIN(C79:J79)=99,"&gt; 7",MIN(C79:J79))</f>
        <v>4</v>
      </c>
    </row>
    <row r="75" customFormat="false" ht="15" hidden="false" customHeight="false" outlineLevel="0" collapsed="false">
      <c r="A75" s="39" t="s">
        <v>244</v>
      </c>
    </row>
    <row r="76" customFormat="false" ht="15" hidden="false" customHeight="false" outlineLevel="0" collapsed="false">
      <c r="A76" s="6" t="s">
        <v>245</v>
      </c>
      <c r="B76" s="6"/>
      <c r="C76" s="42" t="n">
        <f aca="false">(C42-C53)*C$30</f>
        <v>-25</v>
      </c>
      <c r="D76" s="42" t="n">
        <f aca="false">(D42-D53)*D$30+C76</f>
        <v>-21.3072692933333</v>
      </c>
      <c r="E76" s="42" t="n">
        <f aca="false">(E42-E53)*E$30+D76</f>
        <v>-7.97496808765431</v>
      </c>
      <c r="F76" s="42" t="n">
        <f aca="false">(F42-F53)*F$30+E76</f>
        <v>13.914442911262</v>
      </c>
      <c r="G76" s="42" t="n">
        <f aca="false">(G42-G53)*G$30+F76</f>
        <v>34.5877755213497</v>
      </c>
      <c r="H76" s="42" t="n">
        <f aca="false">(H42-H53)*H$30+G76</f>
        <v>54.1125896530991</v>
      </c>
      <c r="I76" s="42" t="n">
        <f aca="false">(I42-I53)*I$30+H76</f>
        <v>72.5526918886402</v>
      </c>
      <c r="J76" s="42" t="n">
        <f aca="false">(J42-J53)*J$30+I76</f>
        <v>89.9683439999846</v>
      </c>
    </row>
    <row r="77" customFormat="false" ht="15" hidden="false" customHeight="false" outlineLevel="0" collapsed="false">
      <c r="A77" s="6" t="s">
        <v>246</v>
      </c>
      <c r="B77" s="6"/>
      <c r="C77" s="50" t="n">
        <f aca="false">IF(C76&gt;=0,C$26,99)</f>
        <v>99</v>
      </c>
      <c r="D77" s="50" t="n">
        <f aca="false">IF(D76&gt;=0,D$26,99)</f>
        <v>99</v>
      </c>
      <c r="E77" s="50" t="n">
        <f aca="false">IF(E76&gt;=0,E$26,99)</f>
        <v>99</v>
      </c>
      <c r="F77" s="50" t="n">
        <f aca="false">IF(F76&gt;=0,F$26,99)</f>
        <v>3</v>
      </c>
      <c r="G77" s="50" t="n">
        <f aca="false">IF(G76&gt;=0,G$26,99)</f>
        <v>4</v>
      </c>
      <c r="H77" s="50" t="n">
        <f aca="false">IF(H76&gt;=0,H$26,99)</f>
        <v>5</v>
      </c>
      <c r="I77" s="50" t="n">
        <f aca="false">IF(I76&gt;=0,I$26,99)</f>
        <v>6</v>
      </c>
      <c r="J77" s="50" t="n">
        <f aca="false">IF(J76&gt;=0,J$26,99)</f>
        <v>7</v>
      </c>
    </row>
    <row r="78" customFormat="false" ht="15" hidden="false" customHeight="false" outlineLevel="0" collapsed="false">
      <c r="A78" s="6" t="s">
        <v>247</v>
      </c>
      <c r="B78" s="6"/>
      <c r="C78" s="42" t="n">
        <f aca="false">(C42-C64)*C$30</f>
        <v>-40</v>
      </c>
      <c r="D78" s="42" t="n">
        <f aca="false">(D42-D64)*D$30+C78</f>
        <v>-39.0924156922222</v>
      </c>
      <c r="E78" s="42" t="n">
        <f aca="false">(E42-E64)*E$30+D78</f>
        <v>-28.7343502798765</v>
      </c>
      <c r="F78" s="42" t="n">
        <f aca="false">(F42-F64)*F$30+E78</f>
        <v>-9.97865840516116</v>
      </c>
      <c r="G78" s="42" t="n">
        <f aca="false">(G42-G64)*G$30+F78</f>
        <v>16.2096209873015</v>
      </c>
      <c r="H78" s="42" t="n">
        <f aca="false">(H42-H64)*H$30+G78</f>
        <v>40.9429959690718</v>
      </c>
      <c r="I78" s="42" t="n">
        <f aca="false">(I42-I64)*I$30+H78</f>
        <v>64.302294562966</v>
      </c>
      <c r="J78" s="42" t="n">
        <f aca="false">(J42-J64)*J$30+I78</f>
        <v>86.3638543460882</v>
      </c>
    </row>
    <row r="79" customFormat="false" ht="15" hidden="false" customHeight="false" outlineLevel="0" collapsed="false">
      <c r="A79" s="6" t="s">
        <v>246</v>
      </c>
      <c r="B79" s="6"/>
      <c r="C79" s="50" t="n">
        <f aca="false">IF(C78&gt;=0,C$26,99)</f>
        <v>99</v>
      </c>
      <c r="D79" s="50" t="n">
        <f aca="false">IF(D78&gt;=0,D$26,99)</f>
        <v>99</v>
      </c>
      <c r="E79" s="50" t="n">
        <f aca="false">IF(E78&gt;=0,E$26,99)</f>
        <v>99</v>
      </c>
      <c r="F79" s="50" t="n">
        <f aca="false">IF(F78&gt;=0,F$26,99)</f>
        <v>99</v>
      </c>
      <c r="G79" s="50" t="n">
        <f aca="false">IF(G78&gt;=0,G$26,99)</f>
        <v>4</v>
      </c>
      <c r="H79" s="50" t="n">
        <f aca="false">IF(H78&gt;=0,H$26,99)</f>
        <v>5</v>
      </c>
      <c r="I79" s="50" t="n">
        <f aca="false">IF(I78&gt;=0,I$26,99)</f>
        <v>6</v>
      </c>
      <c r="J79" s="50" t="n">
        <f aca="false">IF(J78&gt;=0,J$26,99)</f>
        <v>7</v>
      </c>
    </row>
    <row r="81" customFormat="false" ht="15" hidden="false" customHeight="false" outlineLevel="0" collapsed="false">
      <c r="A81" s="10" t="s">
        <v>248</v>
      </c>
      <c r="E81" s="47" t="n">
        <f aca="false">E72-E71</f>
        <v>-3.60448965389642</v>
      </c>
    </row>
    <row r="82" customFormat="false" ht="15" hidden="false" customHeight="false" outlineLevel="0" collapsed="false">
      <c r="A82" s="2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7" min="4" style="0" width="11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4" customFormat="false" ht="43.5" hidden="false" customHeight="true" outlineLevel="0" collapsed="false">
      <c r="A4" s="11" t="s">
        <v>254</v>
      </c>
      <c r="B4" s="11" t="s">
        <v>255</v>
      </c>
      <c r="C4" s="11" t="s">
        <v>235</v>
      </c>
      <c r="D4" s="11" t="s">
        <v>256</v>
      </c>
      <c r="E4" s="11" t="s">
        <v>257</v>
      </c>
      <c r="F4" s="11" t="s">
        <v>258</v>
      </c>
      <c r="G4" s="11" t="s">
        <v>259</v>
      </c>
      <c r="H4" s="11" t="s">
        <v>260</v>
      </c>
      <c r="I4" s="11" t="s">
        <v>106</v>
      </c>
      <c r="J4" s="11" t="s">
        <v>261</v>
      </c>
    </row>
    <row r="5" customFormat="false" ht="15" hidden="false" customHeight="false" outlineLevel="0" collapsed="false">
      <c r="A5" s="6" t="s">
        <v>87</v>
      </c>
      <c r="B5" s="6" t="s">
        <v>141</v>
      </c>
      <c r="C5" s="6" t="s">
        <v>184</v>
      </c>
      <c r="D5" s="33" t="n">
        <v>19.3727259296596</v>
      </c>
      <c r="E5" s="33" t="n">
        <v>-9.56036636313394</v>
      </c>
      <c r="F5" s="33" t="n">
        <v>16.3480994174352</v>
      </c>
      <c r="G5" s="33" t="n">
        <v>58.1570015566221</v>
      </c>
      <c r="H5" s="51" t="n">
        <v>0.841</v>
      </c>
      <c r="I5" s="6"/>
      <c r="J5" s="6"/>
    </row>
    <row r="6" customFormat="false" ht="15" hidden="false" customHeight="false" outlineLevel="0" collapsed="false">
      <c r="A6" s="6" t="s">
        <v>87</v>
      </c>
      <c r="B6" s="6" t="s">
        <v>141</v>
      </c>
      <c r="C6" s="6" t="s">
        <v>185</v>
      </c>
      <c r="D6" s="33" t="n">
        <v>9.70403415270453</v>
      </c>
      <c r="E6" s="33" t="n">
        <v>-30.1568768463088</v>
      </c>
      <c r="F6" s="33" t="n">
        <v>7.55910976212208</v>
      </c>
      <c r="G6" s="33" t="n">
        <v>57.4535747544268</v>
      </c>
      <c r="H6" s="51" t="n">
        <v>0.62965</v>
      </c>
      <c r="I6" s="51" t="n">
        <v>0.3198</v>
      </c>
      <c r="J6" s="33" t="n">
        <v>-9.66869177695505</v>
      </c>
    </row>
    <row r="7" customFormat="false" ht="15" hidden="false" customHeight="false" outlineLevel="0" collapsed="false">
      <c r="A7" s="6" t="s">
        <v>87</v>
      </c>
      <c r="B7" s="6" t="s">
        <v>149</v>
      </c>
      <c r="C7" s="6" t="s">
        <v>184</v>
      </c>
      <c r="D7" s="33" t="n">
        <v>52.3753990561819</v>
      </c>
      <c r="E7" s="33" t="n">
        <v>5.26649512847426</v>
      </c>
      <c r="F7" s="33" t="n">
        <v>45.1415374773249</v>
      </c>
      <c r="G7" s="33" t="n">
        <v>123.212174013052</v>
      </c>
      <c r="H7" s="51" t="n">
        <v>0.97385</v>
      </c>
      <c r="I7" s="6"/>
      <c r="J7" s="6"/>
    </row>
    <row r="8" customFormat="false" ht="15" hidden="false" customHeight="false" outlineLevel="0" collapsed="false">
      <c r="A8" s="6" t="s">
        <v>87</v>
      </c>
      <c r="B8" s="6" t="s">
        <v>149</v>
      </c>
      <c r="C8" s="6" t="s">
        <v>185</v>
      </c>
      <c r="D8" s="33" t="n">
        <v>47.6971345139738</v>
      </c>
      <c r="E8" s="33" t="n">
        <v>-9.84154590202668</v>
      </c>
      <c r="F8" s="33" t="n">
        <v>39.8458451519339</v>
      </c>
      <c r="G8" s="33" t="n">
        <v>132.053364607772</v>
      </c>
      <c r="H8" s="51" t="n">
        <v>0.90045</v>
      </c>
      <c r="I8" s="51" t="n">
        <v>0.41445</v>
      </c>
      <c r="J8" s="33" t="n">
        <v>-4.67826454220803</v>
      </c>
    </row>
    <row r="9" customFormat="false" ht="15" hidden="false" customHeight="false" outlineLevel="0" collapsed="false">
      <c r="A9" s="6" t="s">
        <v>87</v>
      </c>
      <c r="B9" s="6" t="s">
        <v>150</v>
      </c>
      <c r="C9" s="6" t="s">
        <v>184</v>
      </c>
      <c r="D9" s="33" t="n">
        <v>125.290412924593</v>
      </c>
      <c r="E9" s="33" t="n">
        <v>36.8988218260491</v>
      </c>
      <c r="F9" s="33" t="n">
        <v>109.959804905124</v>
      </c>
      <c r="G9" s="33" t="n">
        <v>264.141028178217</v>
      </c>
      <c r="H9" s="51" t="n">
        <v>0.99905</v>
      </c>
      <c r="I9" s="6"/>
      <c r="J9" s="6"/>
    </row>
    <row r="10" customFormat="false" ht="15" hidden="false" customHeight="false" outlineLevel="0" collapsed="false">
      <c r="A10" s="6" t="s">
        <v>87</v>
      </c>
      <c r="B10" s="6" t="s">
        <v>150</v>
      </c>
      <c r="C10" s="6" t="s">
        <v>185</v>
      </c>
      <c r="D10" s="33" t="n">
        <v>130.589274206974</v>
      </c>
      <c r="E10" s="33" t="n">
        <v>28.7713383850922</v>
      </c>
      <c r="F10" s="33" t="n">
        <v>112.877177032503</v>
      </c>
      <c r="G10" s="33" t="n">
        <v>294.042860492793</v>
      </c>
      <c r="H10" s="51" t="n">
        <v>0.9934</v>
      </c>
      <c r="I10" s="51" t="n">
        <v>0.5195</v>
      </c>
      <c r="J10" s="33" t="n">
        <v>5.29886128238163</v>
      </c>
    </row>
    <row r="11" customFormat="false" ht="15" hidden="false" customHeight="false" outlineLevel="0" collapsed="false">
      <c r="A11" s="6" t="s">
        <v>87</v>
      </c>
      <c r="B11" s="6" t="s">
        <v>262</v>
      </c>
      <c r="C11" s="6" t="s">
        <v>184</v>
      </c>
      <c r="D11" s="33" t="n">
        <v>40.851909878428</v>
      </c>
      <c r="E11" s="33" t="n">
        <v>-12.6982094833547</v>
      </c>
      <c r="F11" s="33" t="n">
        <v>17.9895072244165</v>
      </c>
      <c r="G11" s="33" t="n">
        <v>171.758828803725</v>
      </c>
      <c r="H11" s="51" t="n">
        <v>0.78925</v>
      </c>
      <c r="I11" s="6"/>
      <c r="J11" s="6"/>
    </row>
    <row r="12" customFormat="false" ht="15" hidden="false" customHeight="false" outlineLevel="0" collapsed="false">
      <c r="A12" s="6" t="s">
        <v>87</v>
      </c>
      <c r="B12" s="6" t="s">
        <v>262</v>
      </c>
      <c r="C12" s="6" t="s">
        <v>185</v>
      </c>
      <c r="D12" s="33" t="n">
        <v>34.1411985310331</v>
      </c>
      <c r="E12" s="33" t="n">
        <v>-32.6638073068874</v>
      </c>
      <c r="F12" s="33" t="n">
        <v>9.72943657062335</v>
      </c>
      <c r="G12" s="33" t="n">
        <v>184.969218694341</v>
      </c>
      <c r="H12" s="51" t="n">
        <v>0.6236</v>
      </c>
      <c r="I12" s="51" t="n">
        <v>0.35255</v>
      </c>
      <c r="J12" s="33" t="n">
        <v>-6.71071134739488</v>
      </c>
    </row>
    <row r="13" customFormat="false" ht="15" hidden="false" customHeight="false" outlineLevel="0" collapsed="false">
      <c r="A13" s="6" t="s">
        <v>88</v>
      </c>
      <c r="B13" s="6" t="s">
        <v>141</v>
      </c>
      <c r="C13" s="6" t="s">
        <v>184</v>
      </c>
      <c r="D13" s="33" t="n">
        <v>45.1682053735125</v>
      </c>
      <c r="E13" s="33" t="n">
        <v>3.1620487066515</v>
      </c>
      <c r="F13" s="33" t="n">
        <v>38.0426428374896</v>
      </c>
      <c r="G13" s="33" t="n">
        <v>111.446461134899</v>
      </c>
      <c r="H13" s="51" t="n">
        <v>0.9684</v>
      </c>
      <c r="I13" s="6"/>
      <c r="J13" s="6"/>
    </row>
    <row r="14" customFormat="false" ht="15" hidden="false" customHeight="false" outlineLevel="0" collapsed="false">
      <c r="A14" s="6" t="s">
        <v>88</v>
      </c>
      <c r="B14" s="6" t="s">
        <v>141</v>
      </c>
      <c r="C14" s="6" t="s">
        <v>185</v>
      </c>
      <c r="D14" s="33" t="n">
        <v>40.5491642528883</v>
      </c>
      <c r="E14" s="33" t="n">
        <v>-11.4138164436568</v>
      </c>
      <c r="F14" s="33" t="n">
        <v>32.5849894882248</v>
      </c>
      <c r="G14" s="33" t="n">
        <v>119.097157679032</v>
      </c>
      <c r="H14" s="51" t="n">
        <v>0.8793</v>
      </c>
      <c r="I14" s="51" t="n">
        <v>0.4016</v>
      </c>
      <c r="J14" s="33" t="n">
        <v>-4.61904112062413</v>
      </c>
    </row>
    <row r="15" customFormat="false" ht="15" hidden="false" customHeight="false" outlineLevel="0" collapsed="false">
      <c r="A15" s="6" t="s">
        <v>88</v>
      </c>
      <c r="B15" s="6" t="s">
        <v>149</v>
      </c>
      <c r="C15" s="6" t="s">
        <v>184</v>
      </c>
      <c r="D15" s="33" t="n">
        <v>98.8953396139286</v>
      </c>
      <c r="E15" s="33" t="n">
        <v>22.6012347246099</v>
      </c>
      <c r="F15" s="33" t="n">
        <v>83.3223200177776</v>
      </c>
      <c r="G15" s="33" t="n">
        <v>228.025760879304</v>
      </c>
      <c r="H15" s="51" t="n">
        <v>0.99735</v>
      </c>
      <c r="I15" s="6"/>
      <c r="J15" s="6"/>
    </row>
    <row r="16" customFormat="false" ht="15" hidden="false" customHeight="false" outlineLevel="0" collapsed="false">
      <c r="A16" s="6" t="s">
        <v>88</v>
      </c>
      <c r="B16" s="6" t="s">
        <v>149</v>
      </c>
      <c r="C16" s="6" t="s">
        <v>185</v>
      </c>
      <c r="D16" s="33" t="n">
        <v>102.945301772216</v>
      </c>
      <c r="E16" s="33" t="n">
        <v>13.4334289714311</v>
      </c>
      <c r="F16" s="33" t="n">
        <v>84.8962339543917</v>
      </c>
      <c r="G16" s="33" t="n">
        <v>255.028968788294</v>
      </c>
      <c r="H16" s="51" t="n">
        <v>0.98255</v>
      </c>
      <c r="I16" s="51" t="n">
        <v>0.50665</v>
      </c>
      <c r="J16" s="33" t="n">
        <v>4.0499621582878</v>
      </c>
    </row>
    <row r="17" customFormat="false" ht="15" hidden="false" customHeight="false" outlineLevel="0" collapsed="false">
      <c r="A17" s="6" t="s">
        <v>88</v>
      </c>
      <c r="B17" s="6" t="s">
        <v>150</v>
      </c>
      <c r="C17" s="6" t="s">
        <v>184</v>
      </c>
      <c r="D17" s="33" t="n">
        <v>213.174208566286</v>
      </c>
      <c r="E17" s="33" t="n">
        <v>64.1215652527314</v>
      </c>
      <c r="F17" s="33" t="n">
        <v>181.428979420918</v>
      </c>
      <c r="G17" s="33" t="n">
        <v>468.968688043154</v>
      </c>
      <c r="H17" s="51" t="n">
        <v>0.99995</v>
      </c>
      <c r="I17" s="6"/>
      <c r="J17" s="6"/>
    </row>
    <row r="18" customFormat="false" ht="15" hidden="false" customHeight="false" outlineLevel="0" collapsed="false">
      <c r="A18" s="6" t="s">
        <v>88</v>
      </c>
      <c r="B18" s="6" t="s">
        <v>150</v>
      </c>
      <c r="C18" s="6" t="s">
        <v>185</v>
      </c>
      <c r="D18" s="33" t="n">
        <v>234.558494542042</v>
      </c>
      <c r="E18" s="33" t="n">
        <v>63.6021645920196</v>
      </c>
      <c r="F18" s="33" t="n">
        <v>197.111957506174</v>
      </c>
      <c r="G18" s="33" t="n">
        <v>533.945325514559</v>
      </c>
      <c r="H18" s="51" t="n">
        <v>0.99955</v>
      </c>
      <c r="I18" s="51" t="n">
        <v>0.59365</v>
      </c>
      <c r="J18" s="33" t="n">
        <v>21.3842859757558</v>
      </c>
    </row>
    <row r="19" customFormat="false" ht="15" hidden="false" customHeight="false" outlineLevel="0" collapsed="false">
      <c r="A19" s="6" t="s">
        <v>88</v>
      </c>
      <c r="B19" s="6" t="s">
        <v>262</v>
      </c>
      <c r="C19" s="6" t="s">
        <v>184</v>
      </c>
      <c r="D19" s="33" t="n">
        <v>79.0956570922403</v>
      </c>
      <c r="E19" s="33" t="n">
        <v>-2.15086207671031</v>
      </c>
      <c r="F19" s="33" t="n">
        <v>39.5275056709008</v>
      </c>
      <c r="G19" s="33" t="n">
        <v>293.533149831744</v>
      </c>
      <c r="H19" s="51" t="n">
        <v>0.9332</v>
      </c>
      <c r="I19" s="6"/>
      <c r="J19" s="6"/>
    </row>
    <row r="20" customFormat="false" ht="15" hidden="false" customHeight="false" outlineLevel="0" collapsed="false">
      <c r="A20" s="6" t="s">
        <v>88</v>
      </c>
      <c r="B20" s="6" t="s">
        <v>262</v>
      </c>
      <c r="C20" s="6" t="s">
        <v>185</v>
      </c>
      <c r="D20" s="33" t="n">
        <v>79.295779849105</v>
      </c>
      <c r="E20" s="33" t="n">
        <v>-16.9057024701228</v>
      </c>
      <c r="F20" s="33" t="n">
        <v>35.6358736456249</v>
      </c>
      <c r="G20" s="33" t="n">
        <v>330.521702685157</v>
      </c>
      <c r="H20" s="51" t="n">
        <v>0.8275</v>
      </c>
      <c r="I20" s="51" t="n">
        <v>0.42045</v>
      </c>
      <c r="J20" s="33" t="n">
        <v>0.200122756864667</v>
      </c>
    </row>
    <row r="21" customFormat="false" ht="15" hidden="false" customHeight="false" outlineLevel="0" collapsed="false">
      <c r="A21" s="6" t="s">
        <v>89</v>
      </c>
      <c r="B21" s="6" t="s">
        <v>141</v>
      </c>
      <c r="C21" s="6" t="s">
        <v>184</v>
      </c>
      <c r="D21" s="33" t="n">
        <v>78.1182400468913</v>
      </c>
      <c r="E21" s="33" t="n">
        <v>-16.0782190999071</v>
      </c>
      <c r="F21" s="33" t="n">
        <v>70.6832130963146</v>
      </c>
      <c r="G21" s="33" t="n">
        <v>198.132718952209</v>
      </c>
      <c r="H21" s="51" t="n">
        <v>0.90545</v>
      </c>
      <c r="I21" s="6"/>
      <c r="J21" s="6"/>
    </row>
    <row r="22" customFormat="false" ht="15" hidden="false" customHeight="false" outlineLevel="0" collapsed="false">
      <c r="A22" s="6" t="s">
        <v>89</v>
      </c>
      <c r="B22" s="6" t="s">
        <v>141</v>
      </c>
      <c r="C22" s="6" t="s">
        <v>185</v>
      </c>
      <c r="D22" s="33" t="n">
        <v>53.5403368189051</v>
      </c>
      <c r="E22" s="33" t="n">
        <v>-68.2335917961139</v>
      </c>
      <c r="F22" s="33" t="n">
        <v>49.1146189847614</v>
      </c>
      <c r="G22" s="33" t="n">
        <v>190.022624796566</v>
      </c>
      <c r="H22" s="51" t="n">
        <v>0.7586</v>
      </c>
      <c r="I22" s="51" t="n">
        <v>0.3573</v>
      </c>
      <c r="J22" s="33" t="n">
        <v>-24.5779032279863</v>
      </c>
    </row>
    <row r="23" customFormat="false" ht="15" hidden="false" customHeight="false" outlineLevel="0" collapsed="false">
      <c r="A23" s="6" t="s">
        <v>89</v>
      </c>
      <c r="B23" s="6" t="s">
        <v>149</v>
      </c>
      <c r="C23" s="6" t="s">
        <v>184</v>
      </c>
      <c r="D23" s="33" t="n">
        <v>165.877606029804</v>
      </c>
      <c r="E23" s="33" t="n">
        <v>31.7241804633787</v>
      </c>
      <c r="F23" s="33" t="n">
        <v>153.302295454956</v>
      </c>
      <c r="G23" s="33" t="n">
        <v>344.154717281716</v>
      </c>
      <c r="H23" s="51" t="n">
        <v>0.98625</v>
      </c>
      <c r="I23" s="6"/>
      <c r="J23" s="6"/>
    </row>
    <row r="24" customFormat="false" ht="15" hidden="false" customHeight="false" outlineLevel="0" collapsed="false">
      <c r="A24" s="6" t="s">
        <v>89</v>
      </c>
      <c r="B24" s="6" t="s">
        <v>149</v>
      </c>
      <c r="C24" s="6" t="s">
        <v>185</v>
      </c>
      <c r="D24" s="33" t="n">
        <v>151.113879990433</v>
      </c>
      <c r="E24" s="33" t="n">
        <v>-5.55820861935444</v>
      </c>
      <c r="F24" s="33" t="n">
        <v>139.432541913028</v>
      </c>
      <c r="G24" s="33" t="n">
        <v>347.539197410292</v>
      </c>
      <c r="H24" s="51" t="n">
        <v>0.943</v>
      </c>
      <c r="I24" s="51" t="n">
        <v>0.42325</v>
      </c>
      <c r="J24" s="33" t="n">
        <v>-14.7637260393707</v>
      </c>
    </row>
    <row r="25" customFormat="false" ht="15" hidden="false" customHeight="false" outlineLevel="0" collapsed="false">
      <c r="A25" s="6" t="s">
        <v>89</v>
      </c>
      <c r="B25" s="6" t="s">
        <v>150</v>
      </c>
      <c r="C25" s="6" t="s">
        <v>184</v>
      </c>
      <c r="D25" s="33" t="n">
        <v>387.766436982171</v>
      </c>
      <c r="E25" s="33" t="n">
        <v>145.631836947508</v>
      </c>
      <c r="F25" s="33" t="n">
        <v>361.204358109633</v>
      </c>
      <c r="G25" s="33" t="n">
        <v>721.871046068388</v>
      </c>
      <c r="H25" s="51" t="n">
        <v>0.99975</v>
      </c>
      <c r="I25" s="6"/>
      <c r="J25" s="6"/>
    </row>
    <row r="26" customFormat="false" ht="15" hidden="false" customHeight="false" outlineLevel="0" collapsed="false">
      <c r="A26" s="6" t="s">
        <v>89</v>
      </c>
      <c r="B26" s="6" t="s">
        <v>150</v>
      </c>
      <c r="C26" s="6" t="s">
        <v>185</v>
      </c>
      <c r="D26" s="33" t="n">
        <v>392.60604275123</v>
      </c>
      <c r="E26" s="33" t="n">
        <v>130.078268615257</v>
      </c>
      <c r="F26" s="33" t="n">
        <v>365.016461289065</v>
      </c>
      <c r="G26" s="33" t="n">
        <v>748.235746316982</v>
      </c>
      <c r="H26" s="51" t="n">
        <v>0.99735</v>
      </c>
      <c r="I26" s="51" t="n">
        <v>0.50675</v>
      </c>
      <c r="J26" s="33" t="n">
        <v>4.8396057690586</v>
      </c>
    </row>
    <row r="27" customFormat="false" ht="15" hidden="false" customHeight="false" outlineLevel="0" collapsed="false">
      <c r="A27" s="6" t="s">
        <v>89</v>
      </c>
      <c r="B27" s="6" t="s">
        <v>262</v>
      </c>
      <c r="C27" s="6" t="s">
        <v>184</v>
      </c>
      <c r="D27" s="33" t="n">
        <v>142.56094464292</v>
      </c>
      <c r="E27" s="33" t="n">
        <v>-22.724724164845</v>
      </c>
      <c r="F27" s="33" t="n">
        <v>81.4675558821067</v>
      </c>
      <c r="G27" s="33" t="n">
        <v>517.525640790429</v>
      </c>
      <c r="H27" s="51" t="n">
        <v>0.88505</v>
      </c>
      <c r="I27" s="6"/>
      <c r="J27" s="6"/>
    </row>
    <row r="28" customFormat="false" ht="15" hidden="false" customHeight="false" outlineLevel="0" collapsed="false">
      <c r="A28" s="6" t="s">
        <v>89</v>
      </c>
      <c r="B28" s="6" t="s">
        <v>262</v>
      </c>
      <c r="C28" s="6" t="s">
        <v>185</v>
      </c>
      <c r="D28" s="33" t="n">
        <v>123.93414721912</v>
      </c>
      <c r="E28" s="33" t="n">
        <v>-69.9462264836316</v>
      </c>
      <c r="F28" s="33" t="n">
        <v>60.4419965879963</v>
      </c>
      <c r="G28" s="33" t="n">
        <v>532.386641591858</v>
      </c>
      <c r="H28" s="51" t="n">
        <v>0.7567</v>
      </c>
      <c r="I28" s="51" t="n">
        <v>0.38345</v>
      </c>
      <c r="J28" s="33" t="n">
        <v>-18.6267974238002</v>
      </c>
    </row>
    <row r="30" customFormat="false" ht="63.75" hidden="false" customHeight="true" outlineLevel="0" collapsed="false">
      <c r="A30" s="38" t="s">
        <v>263</v>
      </c>
      <c r="B30" s="38"/>
      <c r="C30" s="38"/>
      <c r="D30" s="38"/>
      <c r="E30" s="38"/>
      <c r="F30" s="38"/>
      <c r="G30" s="38"/>
      <c r="H30" s="38"/>
      <c r="I30" s="38"/>
      <c r="J30" s="38"/>
    </row>
    <row r="33" customFormat="false" ht="15" hidden="false" customHeight="false" outlineLevel="0" collapsed="false">
      <c r="A33" s="3" t="s">
        <v>264</v>
      </c>
      <c r="B33" s="4"/>
      <c r="C33" s="4"/>
      <c r="D33" s="4"/>
      <c r="E33" s="4"/>
      <c r="F33" s="4"/>
      <c r="G33" s="4"/>
      <c r="H33" s="4"/>
      <c r="I33" s="4"/>
      <c r="J33" s="4"/>
    </row>
    <row r="34" customFormat="false" ht="23.85" hidden="false" customHeight="false" outlineLevel="0" collapsed="false">
      <c r="A34" s="11" t="s">
        <v>265</v>
      </c>
      <c r="B34" s="11" t="s">
        <v>184</v>
      </c>
      <c r="C34" s="11" t="s">
        <v>185</v>
      </c>
    </row>
    <row r="35" customFormat="false" ht="15" hidden="false" customHeight="false" outlineLevel="0" collapsed="false">
      <c r="A35" s="33" t="n">
        <v>-34.9</v>
      </c>
      <c r="B35" s="32" t="n">
        <v>0.00665</v>
      </c>
      <c r="C35" s="32" t="n">
        <v>0.08055</v>
      </c>
    </row>
    <row r="36" customFormat="false" ht="15" hidden="false" customHeight="false" outlineLevel="0" collapsed="false">
      <c r="A36" s="33" t="n">
        <v>-17.9</v>
      </c>
      <c r="B36" s="32" t="n">
        <v>0.0729</v>
      </c>
      <c r="C36" s="32" t="n">
        <v>0.1663</v>
      </c>
    </row>
    <row r="37" customFormat="false" ht="15" hidden="false" customHeight="false" outlineLevel="0" collapsed="false">
      <c r="A37" s="33" t="n">
        <v>-0.9</v>
      </c>
      <c r="B37" s="32" t="n">
        <v>0.26285</v>
      </c>
      <c r="C37" s="32" t="n">
        <v>0.22975</v>
      </c>
    </row>
    <row r="38" customFormat="false" ht="15" hidden="false" customHeight="false" outlineLevel="0" collapsed="false">
      <c r="A38" s="33" t="n">
        <v>16.1</v>
      </c>
      <c r="B38" s="32" t="n">
        <v>0.23715</v>
      </c>
      <c r="C38" s="32" t="n">
        <v>0.15445</v>
      </c>
    </row>
    <row r="39" customFormat="false" ht="15" hidden="false" customHeight="false" outlineLevel="0" collapsed="false">
      <c r="A39" s="33" t="n">
        <v>33.1</v>
      </c>
      <c r="B39" s="32" t="n">
        <v>0.1197</v>
      </c>
      <c r="C39" s="32" t="n">
        <v>0.0902</v>
      </c>
    </row>
    <row r="40" customFormat="false" ht="15" hidden="false" customHeight="false" outlineLevel="0" collapsed="false">
      <c r="A40" s="33" t="n">
        <v>50.1</v>
      </c>
      <c r="B40" s="32" t="n">
        <v>0.0637</v>
      </c>
      <c r="C40" s="32" t="n">
        <v>0.0537</v>
      </c>
    </row>
    <row r="41" customFormat="false" ht="15" hidden="false" customHeight="false" outlineLevel="0" collapsed="false">
      <c r="A41" s="33" t="n">
        <v>67.2</v>
      </c>
      <c r="B41" s="32" t="n">
        <v>0.0433</v>
      </c>
      <c r="C41" s="32" t="n">
        <v>0.03715</v>
      </c>
    </row>
    <row r="42" customFormat="false" ht="15" hidden="false" customHeight="false" outlineLevel="0" collapsed="false">
      <c r="A42" s="33" t="n">
        <v>84.2</v>
      </c>
      <c r="B42" s="32" t="n">
        <v>0.0376</v>
      </c>
      <c r="C42" s="32" t="n">
        <v>0.0309</v>
      </c>
    </row>
    <row r="43" customFormat="false" ht="15" hidden="false" customHeight="false" outlineLevel="0" collapsed="false">
      <c r="A43" s="33" t="n">
        <v>101.2</v>
      </c>
      <c r="B43" s="32" t="n">
        <v>0.0295</v>
      </c>
      <c r="C43" s="32" t="n">
        <v>0.02785</v>
      </c>
    </row>
    <row r="44" customFormat="false" ht="15" hidden="false" customHeight="false" outlineLevel="0" collapsed="false">
      <c r="A44" s="33" t="n">
        <v>118.2</v>
      </c>
      <c r="B44" s="32" t="n">
        <v>0.0272</v>
      </c>
      <c r="C44" s="32" t="n">
        <v>0.02305</v>
      </c>
    </row>
    <row r="45" customFormat="false" ht="15" hidden="false" customHeight="false" outlineLevel="0" collapsed="false">
      <c r="A45" s="33" t="n">
        <v>135.2</v>
      </c>
      <c r="B45" s="32" t="n">
        <v>0.0226</v>
      </c>
      <c r="C45" s="32" t="n">
        <v>0.0205</v>
      </c>
    </row>
    <row r="46" customFormat="false" ht="15" hidden="false" customHeight="false" outlineLevel="0" collapsed="false">
      <c r="A46" s="33" t="n">
        <v>152.2</v>
      </c>
      <c r="B46" s="32" t="n">
        <v>0.01785</v>
      </c>
      <c r="C46" s="32" t="n">
        <v>0.0161</v>
      </c>
    </row>
    <row r="47" customFormat="false" ht="15" hidden="false" customHeight="false" outlineLevel="0" collapsed="false">
      <c r="A47" s="33" t="n">
        <v>169.2</v>
      </c>
      <c r="B47" s="32" t="n">
        <v>0.01295</v>
      </c>
      <c r="C47" s="32" t="n">
        <v>0.01425</v>
      </c>
    </row>
    <row r="48" customFormat="false" ht="15" hidden="false" customHeight="false" outlineLevel="0" collapsed="false">
      <c r="A48" s="33" t="n">
        <v>186.2</v>
      </c>
      <c r="B48" s="32" t="n">
        <v>0.01095</v>
      </c>
      <c r="C48" s="32" t="n">
        <v>0.01075</v>
      </c>
    </row>
    <row r="49" customFormat="false" ht="15" hidden="false" customHeight="false" outlineLevel="0" collapsed="false">
      <c r="A49" s="33" t="n">
        <v>203.2</v>
      </c>
      <c r="B49" s="32" t="n">
        <v>0.00805</v>
      </c>
      <c r="C49" s="32" t="n">
        <v>0.01</v>
      </c>
    </row>
    <row r="50" customFormat="false" ht="15" hidden="false" customHeight="false" outlineLevel="0" collapsed="false">
      <c r="A50" s="33" t="n">
        <v>220.3</v>
      </c>
      <c r="B50" s="32" t="n">
        <v>0.00665</v>
      </c>
      <c r="C50" s="32" t="n">
        <v>0.00675</v>
      </c>
    </row>
    <row r="51" customFormat="false" ht="15" hidden="false" customHeight="false" outlineLevel="0" collapsed="false">
      <c r="A51" s="33" t="n">
        <v>237.3</v>
      </c>
      <c r="B51" s="32" t="n">
        <v>0.0037</v>
      </c>
      <c r="C51" s="32" t="n">
        <v>0.0044</v>
      </c>
    </row>
    <row r="52" customFormat="false" ht="15" hidden="false" customHeight="false" outlineLevel="0" collapsed="false">
      <c r="A52" s="33" t="n">
        <v>254.3</v>
      </c>
      <c r="B52" s="32" t="n">
        <v>0.00355</v>
      </c>
      <c r="C52" s="32" t="n">
        <v>0.00455</v>
      </c>
    </row>
    <row r="53" customFormat="false" ht="15" hidden="false" customHeight="false" outlineLevel="0" collapsed="false">
      <c r="A53" s="33" t="n">
        <v>271.3</v>
      </c>
      <c r="B53" s="32" t="n">
        <v>0.00255</v>
      </c>
      <c r="C53" s="32" t="n">
        <v>0.00375</v>
      </c>
    </row>
    <row r="54" customFormat="false" ht="15" hidden="false" customHeight="false" outlineLevel="0" collapsed="false">
      <c r="A54" s="33" t="n">
        <v>288.3</v>
      </c>
      <c r="B54" s="32" t="n">
        <v>0.0106</v>
      </c>
      <c r="C54" s="32" t="n">
        <v>0.01505</v>
      </c>
    </row>
  </sheetData>
  <mergeCells count="1"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266</v>
      </c>
    </row>
    <row r="2" customFormat="false" ht="15" hidden="false" customHeight="false" outlineLevel="0" collapsed="false">
      <c r="A2" s="2" t="s">
        <v>267</v>
      </c>
    </row>
    <row r="4" customFormat="false" ht="15" hidden="false" customHeight="false" outlineLevel="0" collapsed="false">
      <c r="A4" s="10" t="s">
        <v>268</v>
      </c>
      <c r="D4" s="52" t="n">
        <v>15.9925936168632</v>
      </c>
    </row>
    <row r="5" customFormat="false" ht="30" hidden="false" customHeight="true" outlineLevel="0" collapsed="false">
      <c r="A5" s="11" t="s">
        <v>269</v>
      </c>
      <c r="B5" s="11" t="s">
        <v>270</v>
      </c>
      <c r="C5" s="11" t="s">
        <v>271</v>
      </c>
      <c r="D5" s="11" t="s">
        <v>272</v>
      </c>
    </row>
    <row r="6" customFormat="false" ht="15" hidden="false" customHeight="false" outlineLevel="0" collapsed="false">
      <c r="A6" s="6" t="s">
        <v>273</v>
      </c>
      <c r="B6" s="33" t="n">
        <v>-12.1729259992285</v>
      </c>
      <c r="C6" s="33" t="n">
        <v>24.345851998457</v>
      </c>
      <c r="D6" s="42" t="n">
        <f aca="false">ABS(C6-B6)</f>
        <v>36.5187779976855</v>
      </c>
    </row>
    <row r="7" customFormat="false" ht="15" hidden="false" customHeight="false" outlineLevel="0" collapsed="false">
      <c r="A7" s="6" t="s">
        <v>274</v>
      </c>
      <c r="B7" s="33" t="n">
        <v>-12.1729259992285</v>
      </c>
      <c r="C7" s="33" t="n">
        <v>24.345851998457</v>
      </c>
      <c r="D7" s="42" t="n">
        <f aca="false">ABS(C7-B7)</f>
        <v>36.5187779976855</v>
      </c>
    </row>
    <row r="8" customFormat="false" ht="15" hidden="false" customHeight="false" outlineLevel="0" collapsed="false">
      <c r="A8" s="6" t="s">
        <v>275</v>
      </c>
      <c r="B8" s="33" t="n">
        <v>-23.535660209988</v>
      </c>
      <c r="C8" s="33" t="n">
        <v>11.767830104994</v>
      </c>
      <c r="D8" s="42" t="n">
        <f aca="false">ABS(C8-B8)</f>
        <v>35.3034903149821</v>
      </c>
    </row>
    <row r="9" customFormat="false" ht="15" hidden="false" customHeight="false" outlineLevel="0" collapsed="false">
      <c r="A9" s="6" t="s">
        <v>276</v>
      </c>
      <c r="B9" s="33" t="n">
        <v>-10.1441049993571</v>
      </c>
      <c r="C9" s="33" t="n">
        <v>20.2882099987142</v>
      </c>
      <c r="D9" s="42" t="n">
        <f aca="false">ABS(C9-B9)</f>
        <v>30.4323149980713</v>
      </c>
    </row>
    <row r="10" customFormat="false" ht="15" hidden="false" customHeight="false" outlineLevel="0" collapsed="false">
      <c r="A10" s="6" t="s">
        <v>277</v>
      </c>
      <c r="B10" s="33" t="n">
        <v>-13.568794219107</v>
      </c>
      <c r="C10" s="33" t="n">
        <v>4.87046725483218</v>
      </c>
      <c r="D10" s="42" t="n">
        <f aca="false">ABS(C10-B10)</f>
        <v>18.4392614739392</v>
      </c>
    </row>
    <row r="11" customFormat="false" ht="15" hidden="false" customHeight="false" outlineLevel="0" collapsed="false">
      <c r="A11" s="6" t="s">
        <v>278</v>
      </c>
      <c r="B11" s="33" t="n">
        <v>-5.29231598483602</v>
      </c>
      <c r="C11" s="33" t="n">
        <v>10.584631969672</v>
      </c>
      <c r="D11" s="42" t="n">
        <f aca="false">ABS(C11-B11)</f>
        <v>15.876947954508</v>
      </c>
    </row>
    <row r="12" customFormat="false" ht="15" hidden="false" customHeight="false" outlineLevel="0" collapsed="false">
      <c r="A12" s="6" t="s">
        <v>279</v>
      </c>
      <c r="B12" s="33" t="n">
        <v>-11.7901708808878</v>
      </c>
      <c r="C12" s="33" t="n">
        <v>3.9300569602959</v>
      </c>
      <c r="D12" s="42" t="n">
        <f aca="false">ABS(C12-B12)</f>
        <v>15.7202278411837</v>
      </c>
    </row>
    <row r="13" customFormat="false" ht="15" hidden="false" customHeight="false" outlineLevel="0" collapsed="false">
      <c r="A13" s="6" t="s">
        <v>280</v>
      </c>
      <c r="B13" s="33" t="n">
        <v>-7.76116565924171</v>
      </c>
      <c r="C13" s="33" t="n">
        <v>7.76116565924167</v>
      </c>
      <c r="D13" s="42" t="n">
        <f aca="false">ABS(C13-B13)</f>
        <v>15.5223313184834</v>
      </c>
    </row>
    <row r="14" customFormat="false" ht="15" hidden="false" customHeight="false" outlineLevel="0" collapsed="false">
      <c r="A14" s="6" t="s">
        <v>281</v>
      </c>
      <c r="B14" s="33" t="n">
        <v>-10.1250138139592</v>
      </c>
      <c r="C14" s="33" t="n">
        <v>4.7250064465143</v>
      </c>
      <c r="D14" s="42" t="n">
        <f aca="false">ABS(C14-B14)</f>
        <v>14.8500202604735</v>
      </c>
    </row>
    <row r="15" customFormat="false" ht="15" hidden="false" customHeight="false" outlineLevel="0" collapsed="false">
      <c r="A15" s="6" t="s">
        <v>282</v>
      </c>
      <c r="B15" s="33" t="n">
        <v>-5.29231598483602</v>
      </c>
      <c r="C15" s="33" t="n">
        <v>7.05642131311467</v>
      </c>
      <c r="D15" s="42" t="n">
        <f aca="false">ABS(C15-B15)</f>
        <v>12.3487372979507</v>
      </c>
    </row>
    <row r="16" customFormat="false" ht="15" hidden="false" customHeight="false" outlineLevel="0" collapsed="false">
      <c r="A16" s="6" t="s">
        <v>283</v>
      </c>
      <c r="B16" s="33" t="n">
        <v>-4.81590741392185</v>
      </c>
      <c r="C16" s="33" t="n">
        <v>2.86086340759727</v>
      </c>
      <c r="D16" s="42" t="n">
        <f aca="false">ABS(C16-B16)</f>
        <v>7.67677082151911</v>
      </c>
    </row>
    <row r="18" customFormat="false" ht="78" hidden="false" customHeight="true" outlineLevel="0" collapsed="false">
      <c r="A18" s="38" t="s">
        <v>284</v>
      </c>
      <c r="B18" s="38"/>
      <c r="C18" s="38"/>
      <c r="D18" s="38"/>
    </row>
    <row r="24" customFormat="false" ht="15" hidden="false" customHeight="false" outlineLevel="0" collapsed="false">
      <c r="A24" s="3" t="s">
        <v>285</v>
      </c>
      <c r="B24" s="4"/>
      <c r="C24" s="4"/>
      <c r="D24" s="4"/>
      <c r="E24" s="4"/>
      <c r="F24" s="4"/>
    </row>
    <row r="25" customFormat="false" ht="15" hidden="false" customHeight="false" outlineLevel="0" collapsed="false">
      <c r="A25" s="11" t="s">
        <v>286</v>
      </c>
      <c r="B25" s="11" t="s">
        <v>287</v>
      </c>
      <c r="C25" s="11" t="s">
        <v>288</v>
      </c>
      <c r="D25" s="11" t="s">
        <v>289</v>
      </c>
      <c r="E25" s="11" t="s">
        <v>290</v>
      </c>
      <c r="F25" s="11" t="s">
        <v>291</v>
      </c>
    </row>
    <row r="26" customFormat="false" ht="15" hidden="false" customHeight="false" outlineLevel="0" collapsed="false">
      <c r="A26" s="10" t="s">
        <v>288</v>
      </c>
      <c r="B26" s="33" t="n">
        <v>6.21835482155176</v>
      </c>
      <c r="C26" s="33" t="n">
        <v>12.4367096431035</v>
      </c>
      <c r="D26" s="33" t="n">
        <v>18.6550644646553</v>
      </c>
      <c r="E26" s="33" t="n">
        <v>24.8734192862071</v>
      </c>
      <c r="F26" s="33" t="n">
        <v>31.0917741077588</v>
      </c>
    </row>
    <row r="27" customFormat="false" ht="15" hidden="false" customHeight="false" outlineLevel="0" collapsed="false">
      <c r="A27" s="10" t="s">
        <v>289</v>
      </c>
      <c r="B27" s="33" t="n">
        <v>5.44106046885779</v>
      </c>
      <c r="C27" s="33" t="n">
        <v>10.8821209377156</v>
      </c>
      <c r="D27" s="33" t="n">
        <v>16.3231814065734</v>
      </c>
      <c r="E27" s="33" t="n">
        <v>21.7642418754312</v>
      </c>
      <c r="F27" s="33" t="n">
        <v>27.205302344289</v>
      </c>
    </row>
    <row r="28" customFormat="false" ht="15" hidden="false" customHeight="false" outlineLevel="0" collapsed="false">
      <c r="A28" s="10" t="s">
        <v>290</v>
      </c>
      <c r="B28" s="33" t="n">
        <v>4.66376611616382</v>
      </c>
      <c r="C28" s="33" t="n">
        <v>9.32753223232764</v>
      </c>
      <c r="D28" s="33" t="n">
        <v>13.9912983484915</v>
      </c>
      <c r="E28" s="33" t="n">
        <v>18.6550644646553</v>
      </c>
      <c r="F28" s="33" t="n">
        <v>23.3188305808191</v>
      </c>
    </row>
    <row r="29" customFormat="false" ht="15" hidden="false" customHeight="false" outlineLevel="0" collapsed="false">
      <c r="A29" s="10" t="s">
        <v>291</v>
      </c>
      <c r="B29" s="33" t="n">
        <v>3.88647176346985</v>
      </c>
      <c r="C29" s="33" t="n">
        <v>7.7729435269397</v>
      </c>
      <c r="D29" s="33" t="n">
        <v>11.6594152904096</v>
      </c>
      <c r="E29" s="33" t="n">
        <v>15.5458870538794</v>
      </c>
      <c r="F29" s="33" t="n">
        <v>19.4323588173493</v>
      </c>
    </row>
    <row r="30" customFormat="false" ht="15" hidden="false" customHeight="false" outlineLevel="0" collapsed="false">
      <c r="A30" s="10" t="s">
        <v>292</v>
      </c>
      <c r="B30" s="33" t="n">
        <v>3.10917741077588</v>
      </c>
      <c r="C30" s="33" t="n">
        <v>6.21835482155176</v>
      </c>
      <c r="D30" s="33" t="n">
        <v>9.32753223232764</v>
      </c>
      <c r="E30" s="33" t="n">
        <v>12.4367096431035</v>
      </c>
      <c r="F30" s="33" t="n">
        <v>15.5458870538794</v>
      </c>
    </row>
    <row r="31" customFormat="false" ht="15" hidden="false" customHeight="false" outlineLevel="0" collapsed="false">
      <c r="A31" s="10" t="s">
        <v>293</v>
      </c>
      <c r="B31" s="33" t="n">
        <v>2.33188305808191</v>
      </c>
      <c r="C31" s="33" t="n">
        <v>4.66376611616382</v>
      </c>
      <c r="D31" s="33" t="n">
        <v>6.99564917424573</v>
      </c>
      <c r="E31" s="33" t="n">
        <v>9.32753223232764</v>
      </c>
      <c r="F31" s="33" t="n">
        <v>11.6594152904095</v>
      </c>
    </row>
    <row r="32" customFormat="false" ht="15" hidden="false" customHeight="false" outlineLevel="0" collapsed="false">
      <c r="A32" s="10" t="s">
        <v>294</v>
      </c>
      <c r="B32" s="33" t="n">
        <v>1.55458870538794</v>
      </c>
      <c r="C32" s="33" t="n">
        <v>3.10917741077588</v>
      </c>
      <c r="D32" s="33" t="n">
        <v>4.66376611616381</v>
      </c>
      <c r="E32" s="33" t="n">
        <v>6.21835482155175</v>
      </c>
      <c r="F32" s="33" t="n">
        <v>7.77294352693969</v>
      </c>
    </row>
    <row r="33" customFormat="false" ht="15" hidden="false" customHeight="false" outlineLevel="0" collapsed="false">
      <c r="A33" s="10" t="s">
        <v>295</v>
      </c>
      <c r="B33" s="33" t="n">
        <v>0.777294352693969</v>
      </c>
      <c r="C33" s="33" t="n">
        <v>1.55458870538794</v>
      </c>
      <c r="D33" s="33" t="n">
        <v>2.33188305808191</v>
      </c>
      <c r="E33" s="33" t="n">
        <v>3.10917741077588</v>
      </c>
      <c r="F33" s="33" t="n">
        <v>3.88647176346985</v>
      </c>
    </row>
    <row r="34" customFormat="false" ht="15" hidden="false" customHeight="false" outlineLevel="0" collapsed="false">
      <c r="A34" s="10" t="s">
        <v>296</v>
      </c>
      <c r="B34" s="33" t="n">
        <v>1.72594017454391E-015</v>
      </c>
      <c r="C34" s="33" t="n">
        <v>3.45188034908781E-015</v>
      </c>
      <c r="D34" s="33" t="n">
        <v>5.17782052363172E-015</v>
      </c>
      <c r="E34" s="33" t="n">
        <v>6.90376069817562E-015</v>
      </c>
      <c r="F34" s="33" t="n">
        <v>8.62970087271953E-015</v>
      </c>
    </row>
    <row r="37" customFormat="false" ht="15" hidden="false" customHeight="false" outlineLevel="0" collapsed="false">
      <c r="A37" s="3" t="s">
        <v>297</v>
      </c>
      <c r="B37" s="4"/>
      <c r="C37" s="4"/>
      <c r="D37" s="4"/>
      <c r="E37" s="4"/>
      <c r="F37" s="4"/>
    </row>
    <row r="38" customFormat="false" ht="15" hidden="false" customHeight="false" outlineLevel="0" collapsed="false">
      <c r="A38" s="11" t="s">
        <v>286</v>
      </c>
      <c r="B38" s="11" t="s">
        <v>287</v>
      </c>
      <c r="C38" s="11" t="s">
        <v>288</v>
      </c>
      <c r="D38" s="11" t="s">
        <v>289</v>
      </c>
      <c r="E38" s="11" t="s">
        <v>290</v>
      </c>
      <c r="F38" s="11" t="s">
        <v>291</v>
      </c>
    </row>
    <row r="39" customFormat="false" ht="15" hidden="false" customHeight="false" outlineLevel="0" collapsed="false">
      <c r="A39" s="10" t="s">
        <v>288</v>
      </c>
      <c r="B39" s="33" t="n">
        <v>15.5458870538794</v>
      </c>
      <c r="C39" s="33" t="n">
        <v>31.0917741077588</v>
      </c>
      <c r="D39" s="33" t="n">
        <v>46.6376611616382</v>
      </c>
      <c r="E39" s="33" t="n">
        <v>62.1835482155176</v>
      </c>
      <c r="F39" s="33" t="n">
        <v>77.729435269397</v>
      </c>
    </row>
    <row r="40" customFormat="false" ht="15" hidden="false" customHeight="false" outlineLevel="0" collapsed="false">
      <c r="A40" s="10" t="s">
        <v>289</v>
      </c>
      <c r="B40" s="33" t="n">
        <v>13.6026511721445</v>
      </c>
      <c r="C40" s="33" t="n">
        <v>27.205302344289</v>
      </c>
      <c r="D40" s="33" t="n">
        <v>40.8079535164334</v>
      </c>
      <c r="E40" s="33" t="n">
        <v>54.4106046885779</v>
      </c>
      <c r="F40" s="33" t="n">
        <v>68.0132558607224</v>
      </c>
    </row>
    <row r="41" customFormat="false" ht="15" hidden="false" customHeight="false" outlineLevel="0" collapsed="false">
      <c r="A41" s="10" t="s">
        <v>290</v>
      </c>
      <c r="B41" s="33" t="n">
        <v>11.6594152904096</v>
      </c>
      <c r="C41" s="33" t="n">
        <v>23.3188305808191</v>
      </c>
      <c r="D41" s="33" t="n">
        <v>34.9782458712287</v>
      </c>
      <c r="E41" s="33" t="n">
        <v>46.6376611616382</v>
      </c>
      <c r="F41" s="33" t="n">
        <v>58.2970764520478</v>
      </c>
    </row>
    <row r="42" customFormat="false" ht="15" hidden="false" customHeight="false" outlineLevel="0" collapsed="false">
      <c r="A42" s="10" t="s">
        <v>291</v>
      </c>
      <c r="B42" s="33" t="n">
        <v>9.71617940867463</v>
      </c>
      <c r="C42" s="33" t="n">
        <v>19.4323588173493</v>
      </c>
      <c r="D42" s="33" t="n">
        <v>29.1485382260239</v>
      </c>
      <c r="E42" s="33" t="n">
        <v>38.8647176346985</v>
      </c>
      <c r="F42" s="33" t="n">
        <v>48.5808970433731</v>
      </c>
    </row>
    <row r="43" customFormat="false" ht="15" hidden="false" customHeight="false" outlineLevel="0" collapsed="false">
      <c r="A43" s="10" t="s">
        <v>292</v>
      </c>
      <c r="B43" s="33" t="n">
        <v>7.7729435269397</v>
      </c>
      <c r="C43" s="33" t="n">
        <v>15.5458870538794</v>
      </c>
      <c r="D43" s="33" t="n">
        <v>23.3188305808191</v>
      </c>
      <c r="E43" s="33" t="n">
        <v>31.0917741077588</v>
      </c>
      <c r="F43" s="33" t="n">
        <v>38.8647176346985</v>
      </c>
    </row>
    <row r="44" customFormat="false" ht="15" hidden="false" customHeight="false" outlineLevel="0" collapsed="false">
      <c r="A44" s="10" t="s">
        <v>293</v>
      </c>
      <c r="B44" s="33" t="n">
        <v>5.82970764520477</v>
      </c>
      <c r="C44" s="33" t="n">
        <v>11.6594152904095</v>
      </c>
      <c r="D44" s="33" t="n">
        <v>17.4891229356143</v>
      </c>
      <c r="E44" s="33" t="n">
        <v>23.3188305808191</v>
      </c>
      <c r="F44" s="33" t="n">
        <v>29.1485382260239</v>
      </c>
    </row>
    <row r="45" customFormat="false" ht="15" hidden="false" customHeight="false" outlineLevel="0" collapsed="false">
      <c r="A45" s="10" t="s">
        <v>294</v>
      </c>
      <c r="B45" s="33" t="n">
        <v>3.88647176346985</v>
      </c>
      <c r="C45" s="33" t="n">
        <v>7.77294352693969</v>
      </c>
      <c r="D45" s="33" t="n">
        <v>11.6594152904095</v>
      </c>
      <c r="E45" s="33" t="n">
        <v>15.5458870538794</v>
      </c>
      <c r="F45" s="33" t="n">
        <v>19.4323588173492</v>
      </c>
    </row>
    <row r="46" customFormat="false" ht="15" hidden="false" customHeight="false" outlineLevel="0" collapsed="false">
      <c r="A46" s="10" t="s">
        <v>295</v>
      </c>
      <c r="B46" s="33" t="n">
        <v>1.94323588173492</v>
      </c>
      <c r="C46" s="33" t="n">
        <v>3.88647176346985</v>
      </c>
      <c r="D46" s="33" t="n">
        <v>5.82970764520477</v>
      </c>
      <c r="E46" s="33" t="n">
        <v>7.77294352693969</v>
      </c>
      <c r="F46" s="33" t="n">
        <v>9.71617940867461</v>
      </c>
    </row>
    <row r="47" customFormat="false" ht="15" hidden="false" customHeight="false" outlineLevel="0" collapsed="false">
      <c r="A47" s="10" t="s">
        <v>296</v>
      </c>
      <c r="B47" s="33" t="n">
        <v>4.31485043635976E-015</v>
      </c>
      <c r="C47" s="33" t="n">
        <v>8.62970087271953E-015</v>
      </c>
      <c r="D47" s="33" t="n">
        <v>1.29445513090793E-014</v>
      </c>
      <c r="E47" s="33" t="n">
        <v>1.72594017454391E-014</v>
      </c>
      <c r="F47" s="33" t="n">
        <v>2.15742521817988E-014</v>
      </c>
    </row>
    <row r="50" customFormat="false" ht="43.5" hidden="false" customHeight="true" outlineLevel="0" collapsed="false">
      <c r="A50" s="38" t="s">
        <v>298</v>
      </c>
      <c r="B50" s="38"/>
      <c r="C50" s="38"/>
      <c r="D50" s="38"/>
      <c r="E50" s="38"/>
      <c r="F50" s="38"/>
    </row>
  </sheetData>
  <mergeCells count="2">
    <mergeCell ref="A18:D18"/>
    <mergeCell ref="A50:F50"/>
  </mergeCells>
  <conditionalFormatting sqref="B26:F3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39:F47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4" min="3" style="0" width="11"/>
    <col collapsed="false" customWidth="true" hidden="false" outlineLevel="0" max="13" min="5" style="0" width="13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2" t="s">
        <v>300</v>
      </c>
    </row>
    <row r="4" customFormat="false" ht="43.5" hidden="false" customHeight="true" outlineLevel="0" collapsed="false">
      <c r="A4" s="11" t="s">
        <v>301</v>
      </c>
      <c r="B4" s="11" t="s">
        <v>302</v>
      </c>
      <c r="C4" s="11" t="s">
        <v>303</v>
      </c>
      <c r="D4" s="11" t="s">
        <v>304</v>
      </c>
      <c r="E4" s="11" t="s">
        <v>305</v>
      </c>
      <c r="F4" s="11" t="s">
        <v>306</v>
      </c>
      <c r="G4" s="11" t="s">
        <v>307</v>
      </c>
      <c r="H4" s="11" t="s">
        <v>308</v>
      </c>
      <c r="I4" s="11" t="s">
        <v>309</v>
      </c>
      <c r="J4" s="11" t="s">
        <v>310</v>
      </c>
      <c r="K4" s="11" t="s">
        <v>311</v>
      </c>
      <c r="L4" s="11" t="s">
        <v>312</v>
      </c>
      <c r="M4" s="11" t="s">
        <v>313</v>
      </c>
    </row>
    <row r="5" customFormat="false" ht="15" hidden="false" customHeight="false" outlineLevel="0" collapsed="false">
      <c r="A5" s="6" t="s">
        <v>314</v>
      </c>
      <c r="B5" s="53" t="s">
        <v>28</v>
      </c>
      <c r="C5" s="25" t="n">
        <v>0</v>
      </c>
      <c r="D5" s="25" t="n">
        <v>10</v>
      </c>
      <c r="E5" s="54" t="n">
        <f aca="false">10-ESG!J26</f>
        <v>5.18</v>
      </c>
      <c r="F5" s="54" t="n">
        <f aca="false">10-ESG!J16</f>
        <v>4.72</v>
      </c>
      <c r="G5" s="54" t="n">
        <f aca="false">10-ESG!J6</f>
        <v>3.85</v>
      </c>
      <c r="H5" s="42" t="n">
        <f aca="false">MAX(0,MIN(100,(E5-$C5)/($D5-$C5)*100))</f>
        <v>51.8</v>
      </c>
      <c r="I5" s="42" t="n">
        <f aca="false">MAX(0,MIN(100,(F5-$C5)/($D5-$C5)*100))</f>
        <v>47.2</v>
      </c>
      <c r="J5" s="42" t="n">
        <f aca="false">MAX(0,MIN(100,(G5-$C5)/($D5-$C5)*100))</f>
        <v>38.5</v>
      </c>
      <c r="K5" s="51" t="n">
        <v>0.15</v>
      </c>
      <c r="L5" s="51" t="n">
        <v>0.1</v>
      </c>
      <c r="M5" s="51" t="n">
        <v>0.15</v>
      </c>
    </row>
    <row r="6" customFormat="false" ht="15" hidden="false" customHeight="false" outlineLevel="0" collapsed="false">
      <c r="A6" s="6" t="s">
        <v>315</v>
      </c>
      <c r="B6" s="53" t="s">
        <v>28</v>
      </c>
      <c r="C6" s="25" t="n">
        <v>0</v>
      </c>
      <c r="D6" s="25" t="n">
        <v>10</v>
      </c>
      <c r="E6" s="54" t="n">
        <f aca="false">10-ESG!J28</f>
        <v>7.92</v>
      </c>
      <c r="F6" s="54" t="n">
        <f aca="false">10-ESG!J18</f>
        <v>5.89</v>
      </c>
      <c r="G6" s="54" t="n">
        <f aca="false">10-ESG!J8</f>
        <v>3.54</v>
      </c>
      <c r="H6" s="42" t="n">
        <f aca="false">MAX(0,MIN(100,(E6-$C6)/($D6-$C6)*100))</f>
        <v>79.2</v>
      </c>
      <c r="I6" s="42" t="n">
        <f aca="false">MAX(0,MIN(100,(F6-$C6)/($D6-$C6)*100))</f>
        <v>58.9</v>
      </c>
      <c r="J6" s="42" t="n">
        <f aca="false">MAX(0,MIN(100,(G6-$C6)/($D6-$C6)*100))</f>
        <v>35.4</v>
      </c>
      <c r="K6" s="51" t="n">
        <v>0.15</v>
      </c>
      <c r="L6" s="51" t="n">
        <v>0.1</v>
      </c>
      <c r="M6" s="51" t="n">
        <v>0.2</v>
      </c>
    </row>
    <row r="7" customFormat="false" ht="15" hidden="false" customHeight="false" outlineLevel="0" collapsed="false">
      <c r="A7" s="6" t="s">
        <v>316</v>
      </c>
      <c r="B7" s="53" t="s">
        <v>317</v>
      </c>
      <c r="C7" s="25" t="n">
        <v>0</v>
      </c>
      <c r="D7" s="25" t="n">
        <v>3000</v>
      </c>
      <c r="E7" s="54" t="n">
        <f aca="false">ESG!J32/(Fundamentals!H6*Assumptions!$B$11/1000)</f>
        <v>1788.8728990561</v>
      </c>
      <c r="F7" s="54" t="n">
        <f aca="false">ESG!J22/(Fundamentals!H35*Assumptions!$B$12/1000)</f>
        <v>593.109463584823</v>
      </c>
      <c r="G7" s="54" t="n">
        <f aca="false">ESG!J12/(Fundamentals!H64*1/1000)</f>
        <v>2181.68541877229</v>
      </c>
      <c r="H7" s="42" t="n">
        <f aca="false">MAX(0,MIN(100,(E7-$C7)/($D7-$C7)*100))</f>
        <v>59.6290966352034</v>
      </c>
      <c r="I7" s="42" t="n">
        <f aca="false">MAX(0,MIN(100,(F7-$C7)/($D7-$C7)*100))</f>
        <v>19.7703154528274</v>
      </c>
      <c r="J7" s="42" t="n">
        <f aca="false">MAX(0,MIN(100,(G7-$C7)/($D7-$C7)*100))</f>
        <v>72.7228472924097</v>
      </c>
      <c r="K7" s="51" t="n">
        <v>0.15</v>
      </c>
      <c r="L7" s="51" t="n">
        <v>0.1</v>
      </c>
      <c r="M7" s="51" t="n">
        <v>0.2</v>
      </c>
    </row>
    <row r="8" customFormat="false" ht="15" hidden="false" customHeight="false" outlineLevel="0" collapsed="false">
      <c r="A8" s="6" t="s">
        <v>318</v>
      </c>
      <c r="B8" s="53" t="s">
        <v>319</v>
      </c>
      <c r="C8" s="24" t="n">
        <v>0</v>
      </c>
      <c r="D8" s="24" t="n">
        <v>0.4</v>
      </c>
      <c r="E8" s="19" t="n">
        <f aca="false">Supply_Chain!D18</f>
        <v>0.139372822299652</v>
      </c>
      <c r="F8" s="19" t="n">
        <f aca="false">Supply_Chain!C18</f>
        <v>0.106299212598425</v>
      </c>
      <c r="G8" s="19" t="n">
        <f aca="false">Supply_Chain!B18</f>
        <v>0.366666666666667</v>
      </c>
      <c r="H8" s="42" t="n">
        <f aca="false">MAX(0,MIN(100,(E8-$C8)/($D8-$C8)*100))</f>
        <v>34.8432055749129</v>
      </c>
      <c r="I8" s="42" t="n">
        <f aca="false">MAX(0,MIN(100,(F8-$C8)/($D8-$C8)*100))</f>
        <v>26.5748031496063</v>
      </c>
      <c r="J8" s="42" t="n">
        <f aca="false">MAX(0,MIN(100,(G8-$C8)/($D8-$C8)*100))</f>
        <v>91.6666666666667</v>
      </c>
      <c r="K8" s="51" t="n">
        <v>0.1</v>
      </c>
      <c r="L8" s="51" t="n">
        <v>0.1</v>
      </c>
      <c r="M8" s="51" t="n">
        <v>0.1</v>
      </c>
    </row>
    <row r="9" customFormat="false" ht="15" hidden="false" customHeight="false" outlineLevel="0" collapsed="false">
      <c r="A9" s="6" t="s">
        <v>320</v>
      </c>
      <c r="B9" s="53" t="s">
        <v>319</v>
      </c>
      <c r="C9" s="24" t="n">
        <v>0</v>
      </c>
      <c r="D9" s="24" t="n">
        <v>0.25</v>
      </c>
      <c r="E9" s="19" t="n">
        <f aca="false">Supply_Chain!D19</f>
        <v>0.205574912891986</v>
      </c>
      <c r="F9" s="19" t="n">
        <f aca="false">Supply_Chain!C19</f>
        <v>0.19488188976378</v>
      </c>
      <c r="G9" s="19" t="n">
        <f aca="false">Supply_Chain!B19</f>
        <v>0.133333333333333</v>
      </c>
      <c r="H9" s="42" t="n">
        <f aca="false">MAX(0,MIN(100,(E9-$C9)/($D9-$C9)*100))</f>
        <v>82.2299651567944</v>
      </c>
      <c r="I9" s="42" t="n">
        <f aca="false">MAX(0,MIN(100,(F9-$C9)/($D9-$C9)*100))</f>
        <v>77.9527559055118</v>
      </c>
      <c r="J9" s="42" t="n">
        <f aca="false">MAX(0,MIN(100,(G9-$C9)/($D9-$C9)*100))</f>
        <v>53.3333333333333</v>
      </c>
      <c r="K9" s="51" t="n">
        <v>0.05</v>
      </c>
      <c r="L9" s="51" t="n">
        <v>0.1</v>
      </c>
      <c r="M9" s="51" t="n">
        <v>0.1</v>
      </c>
    </row>
    <row r="10" customFormat="false" ht="15" hidden="false" customHeight="false" outlineLevel="0" collapsed="false">
      <c r="A10" s="6" t="s">
        <v>321</v>
      </c>
      <c r="B10" s="53" t="s">
        <v>319</v>
      </c>
      <c r="C10" s="24" t="n">
        <v>0</v>
      </c>
      <c r="D10" s="24" t="n">
        <v>0.1</v>
      </c>
      <c r="E10" s="19" t="n">
        <f aca="false">Supply_Chain!D20</f>
        <v>0.0452961672473868</v>
      </c>
      <c r="F10" s="19" t="n">
        <f aca="false">Supply_Chain!C20</f>
        <v>0.0413385826771654</v>
      </c>
      <c r="G10" s="19" t="n">
        <f aca="false">Supply_Chain!B20</f>
        <v>0.0333333333333333</v>
      </c>
      <c r="H10" s="42" t="n">
        <f aca="false">MAX(0,MIN(100,(E10-$C10)/($D10-$C10)*100))</f>
        <v>45.2961672473868</v>
      </c>
      <c r="I10" s="42" t="n">
        <f aca="false">MAX(0,MIN(100,(F10-$C10)/($D10-$C10)*100))</f>
        <v>41.3385826771654</v>
      </c>
      <c r="J10" s="42" t="n">
        <f aca="false">MAX(0,MIN(100,(G10-$C10)/($D10-$C10)*100))</f>
        <v>33.3333333333333</v>
      </c>
      <c r="K10" s="51" t="n">
        <v>0.05</v>
      </c>
      <c r="L10" s="51" t="n">
        <v>0.1</v>
      </c>
      <c r="M10" s="51" t="n">
        <v>0.05</v>
      </c>
    </row>
    <row r="11" customFormat="false" ht="15" hidden="false" customHeight="false" outlineLevel="0" collapsed="false">
      <c r="A11" s="6" t="s">
        <v>322</v>
      </c>
      <c r="B11" s="53" t="s">
        <v>319</v>
      </c>
      <c r="C11" s="24" t="n">
        <v>0</v>
      </c>
      <c r="D11" s="24" t="n">
        <v>0.05</v>
      </c>
      <c r="E11" s="19" t="n">
        <f aca="false">Supply_Chain!D17</f>
        <v>0.0174216027874564</v>
      </c>
      <c r="F11" s="19" t="n">
        <f aca="false">Supply_Chain!C17</f>
        <v>0.0295275590551181</v>
      </c>
      <c r="G11" s="19" t="n">
        <f aca="false">Supply_Chain!B17</f>
        <v>0.0333333333333333</v>
      </c>
      <c r="H11" s="42" t="n">
        <f aca="false">MAX(0,MIN(100,(E11-$C11)/($D11-$C11)*100))</f>
        <v>34.8432055749129</v>
      </c>
      <c r="I11" s="42" t="n">
        <f aca="false">MAX(0,MIN(100,(F11-$C11)/($D11-$C11)*100))</f>
        <v>59.0551181102362</v>
      </c>
      <c r="J11" s="42" t="n">
        <f aca="false">MAX(0,MIN(100,(G11-$C11)/($D11-$C11)*100))</f>
        <v>66.6666666666667</v>
      </c>
      <c r="K11" s="51" t="n">
        <v>0.1</v>
      </c>
      <c r="L11" s="51" t="n">
        <v>0.1</v>
      </c>
      <c r="M11" s="51" t="n">
        <v>0.05</v>
      </c>
    </row>
    <row r="12" customFormat="false" ht="15" hidden="false" customHeight="false" outlineLevel="0" collapsed="false">
      <c r="A12" s="6" t="s">
        <v>323</v>
      </c>
      <c r="B12" s="53" t="s">
        <v>26</v>
      </c>
      <c r="C12" s="55" t="n">
        <v>0</v>
      </c>
      <c r="D12" s="55" t="n">
        <v>20</v>
      </c>
      <c r="E12" s="29" t="n">
        <f aca="false">News_Events!C7</f>
        <v>12</v>
      </c>
      <c r="F12" s="29" t="n">
        <f aca="false">News_Events!C8</f>
        <v>1</v>
      </c>
      <c r="G12" s="29" t="n">
        <f aca="false">News_Events!C9</f>
        <v>19</v>
      </c>
      <c r="H12" s="42" t="n">
        <f aca="false">MAX(0,MIN(100,(E12-$C12)/($D12-$C12)*100))</f>
        <v>60</v>
      </c>
      <c r="I12" s="42" t="n">
        <f aca="false">MAX(0,MIN(100,(F12-$C12)/($D12-$C12)*100))</f>
        <v>5</v>
      </c>
      <c r="J12" s="42" t="n">
        <f aca="false">MAX(0,MIN(100,(G12-$C12)/($D12-$C12)*100))</f>
        <v>95</v>
      </c>
      <c r="K12" s="51" t="n">
        <v>0.1</v>
      </c>
      <c r="L12" s="51" t="n">
        <v>0.1</v>
      </c>
      <c r="M12" s="51" t="n">
        <v>0.05</v>
      </c>
    </row>
    <row r="13" customFormat="false" ht="15" hidden="false" customHeight="false" outlineLevel="0" collapsed="false">
      <c r="A13" s="6" t="s">
        <v>324</v>
      </c>
      <c r="B13" s="53" t="s">
        <v>32</v>
      </c>
      <c r="C13" s="33" t="n">
        <v>10</v>
      </c>
      <c r="D13" s="33" t="n">
        <v>40</v>
      </c>
      <c r="E13" s="14" t="n">
        <f aca="false">Market_Data!D26</f>
        <v>23.1949</v>
      </c>
      <c r="F13" s="14" t="n">
        <f aca="false">Market_Data!C26</f>
        <v>23.9151</v>
      </c>
      <c r="G13" s="14" t="n">
        <f aca="false">Market_Data!B26</f>
        <v>21.6096</v>
      </c>
      <c r="H13" s="42" t="n">
        <f aca="false">MAX(0,MIN(100,(E13-$C13)/($D13-$C13)*100))</f>
        <v>43.983</v>
      </c>
      <c r="I13" s="42" t="n">
        <f aca="false">MAX(0,MIN(100,(F13-$C13)/($D13-$C13)*100))</f>
        <v>46.3836666666667</v>
      </c>
      <c r="J13" s="42" t="n">
        <f aca="false">MAX(0,MIN(100,(G13-$C13)/($D13-$C13)*100))</f>
        <v>38.6986666666667</v>
      </c>
      <c r="K13" s="51" t="n">
        <v>0.05</v>
      </c>
      <c r="L13" s="51" t="n">
        <v>0.1</v>
      </c>
      <c r="M13" s="51" t="n">
        <v>0</v>
      </c>
    </row>
    <row r="14" customFormat="false" ht="15" hidden="false" customHeight="false" outlineLevel="0" collapsed="false">
      <c r="A14" s="6" t="s">
        <v>325</v>
      </c>
      <c r="B14" s="53" t="s">
        <v>30</v>
      </c>
      <c r="C14" s="27" t="n">
        <v>12</v>
      </c>
      <c r="D14" s="27" t="n">
        <v>2</v>
      </c>
      <c r="E14" s="15" t="n">
        <f aca="false">Fundamentals!I26</f>
        <v>9.13405797101449</v>
      </c>
      <c r="F14" s="15" t="n">
        <f aca="false">Fundamentals!I55</f>
        <v>8.28698752228164</v>
      </c>
      <c r="G14" s="15" t="n">
        <f aca="false">Fundamentals!I84</f>
        <v>2.08260627436421</v>
      </c>
      <c r="H14" s="42" t="n">
        <f aca="false">MAX(0,MIN(100,(E14-$C14)/($D14-$C14)*100))</f>
        <v>28.6594202898551</v>
      </c>
      <c r="I14" s="42" t="n">
        <f aca="false">MAX(0,MIN(100,(F14-$C14)/($D14-$C14)*100))</f>
        <v>37.1301247771836</v>
      </c>
      <c r="J14" s="42" t="n">
        <f aca="false">MAX(0,MIN(100,(G14-$C14)/($D14-$C14)*100))</f>
        <v>99.1739372563579</v>
      </c>
      <c r="K14" s="51" t="n">
        <v>0.1</v>
      </c>
      <c r="L14" s="51" t="n">
        <v>0.1</v>
      </c>
      <c r="M14" s="51" t="n">
        <v>0.1</v>
      </c>
    </row>
    <row r="15" customFormat="false" ht="15" hidden="false" customHeight="false" outlineLevel="0" collapsed="false">
      <c r="A15" s="10" t="s">
        <v>326</v>
      </c>
      <c r="K15" s="56" t="n">
        <f aca="false">SUM(K5:K14)</f>
        <v>1</v>
      </c>
      <c r="L15" s="56" t="n">
        <f aca="false">SUM(L5:L14)</f>
        <v>1</v>
      </c>
      <c r="M15" s="56" t="n">
        <f aca="false">SUM(M5:M14)</f>
        <v>1</v>
      </c>
    </row>
    <row r="17" customFormat="false" ht="15" hidden="false" customHeight="false" outlineLevel="0" collapsed="false">
      <c r="A17" s="11" t="s">
        <v>327</v>
      </c>
      <c r="B17" s="11"/>
      <c r="C17" s="11"/>
      <c r="D17" s="11"/>
      <c r="E17" s="11"/>
      <c r="F17" s="11"/>
      <c r="G17" s="11"/>
      <c r="H17" s="11" t="s">
        <v>87</v>
      </c>
      <c r="I17" s="11" t="s">
        <v>88</v>
      </c>
      <c r="J17" s="11" t="s">
        <v>89</v>
      </c>
    </row>
    <row r="18" customFormat="false" ht="15" hidden="false" customHeight="false" outlineLevel="0" collapsed="false">
      <c r="A18" s="10" t="s">
        <v>328</v>
      </c>
      <c r="H18" s="57" t="n">
        <f aca="false">SUMPRODUCT(H$5:H$14,$K$5:$K$14)</f>
        <v>53.0044042594577</v>
      </c>
      <c r="I18" s="57" t="n">
        <f aca="false">SUMPRODUCT(I$5:I$14,$K$5:$K$14)</f>
        <v>39.9403021840939</v>
      </c>
      <c r="J18" s="57" t="n">
        <f aca="false">SUMPRODUCT(J$5:J$14,$K$5:$K$14)</f>
        <v>63.5124208194972</v>
      </c>
    </row>
    <row r="19" customFormat="false" ht="15" hidden="false" customHeight="false" outlineLevel="0" collapsed="false">
      <c r="A19" s="10" t="s">
        <v>329</v>
      </c>
      <c r="H19" s="42" t="n">
        <f aca="false">SUMPRODUCT(H$5:H$14,$L$5:$L$14)</f>
        <v>52.0484060479065</v>
      </c>
      <c r="I19" s="42" t="n">
        <f aca="false">SUMPRODUCT(I$5:I$14,$L$5:$L$14)</f>
        <v>41.9305366739197</v>
      </c>
      <c r="J19" s="42" t="n">
        <f aca="false">SUMPRODUCT(J$5:J$14,$L$5:$L$14)</f>
        <v>62.4495451215434</v>
      </c>
    </row>
    <row r="20" customFormat="false" ht="15" hidden="false" customHeight="false" outlineLevel="0" collapsed="false">
      <c r="A20" s="10" t="s">
        <v>330</v>
      </c>
      <c r="H20" s="42" t="n">
        <f aca="false">SUMPRODUCT(H$5:H$14,$M$5:$M$14)</f>
        <v>57.1160470703119</v>
      </c>
      <c r="I20" s="42" t="n">
        <f aca="false">SUMPRODUCT(I$5:I$14,$M$5:$M$14)</f>
        <v>42.2495165131657</v>
      </c>
      <c r="J20" s="42" t="n">
        <f aca="false">SUMPRODUCT(J$5:J$14,$M$5:$M$14)</f>
        <v>61.5669631841177</v>
      </c>
    </row>
    <row r="21" customFormat="false" ht="15" hidden="false" customHeight="false" outlineLevel="0" collapsed="false">
      <c r="A21" s="6" t="s">
        <v>331</v>
      </c>
      <c r="H21" s="50" t="n">
        <f aca="false">RANK(H18,$H18:$J18,0)</f>
        <v>2</v>
      </c>
      <c r="I21" s="50" t="n">
        <f aca="false">RANK(I18,$H18:$J18,0)</f>
        <v>3</v>
      </c>
      <c r="J21" s="50" t="n">
        <f aca="false">RANK(J18,$H18:$J18,0)</f>
        <v>1</v>
      </c>
    </row>
    <row r="22" customFormat="false" ht="15" hidden="false" customHeight="false" outlineLevel="0" collapsed="false">
      <c r="A22" s="6" t="s">
        <v>332</v>
      </c>
      <c r="H22" s="50" t="n">
        <f aca="false">RANK(H19,$H19:$J19,0)</f>
        <v>2</v>
      </c>
      <c r="I22" s="50" t="n">
        <f aca="false">RANK(I19,$H19:$J19,0)</f>
        <v>3</v>
      </c>
      <c r="J22" s="50" t="n">
        <f aca="false">RANK(J19,$H19:$J19,0)</f>
        <v>1</v>
      </c>
    </row>
    <row r="23" customFormat="false" ht="15" hidden="false" customHeight="false" outlineLevel="0" collapsed="false">
      <c r="A23" s="6" t="s">
        <v>333</v>
      </c>
      <c r="H23" s="50" t="n">
        <f aca="false">RANK(H20,$H20:$J20,0)</f>
        <v>2</v>
      </c>
      <c r="I23" s="50" t="n">
        <f aca="false">RANK(I20,$H20:$J20,0)</f>
        <v>3</v>
      </c>
      <c r="J23" s="50" t="n">
        <f aca="false">RANK(J20,$H20:$J20,0)</f>
        <v>1</v>
      </c>
    </row>
    <row r="24" customFormat="false" ht="15" hidden="false" customHeight="false" outlineLevel="0" collapsed="false">
      <c r="A24" s="10" t="s">
        <v>334</v>
      </c>
      <c r="H24" s="7" t="str">
        <f aca="false">IF(AND(H21=H22,H21=H23,I21=I22,I21=I23,J21=J22,J21=J23),"Yes","No — weights matter")</f>
        <v>Yes</v>
      </c>
    </row>
    <row r="26" customFormat="false" ht="61.5" hidden="false" customHeight="true" outlineLevel="0" collapsed="false">
      <c r="A26" s="38" t="s">
        <v>335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</sheetData>
  <mergeCells count="1"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2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336</v>
      </c>
    </row>
    <row r="2" customFormat="false" ht="15" hidden="false" customHeight="false" outlineLevel="0" collapsed="false">
      <c r="A2" s="2" t="s">
        <v>337</v>
      </c>
    </row>
    <row r="4" customFormat="false" ht="15" hidden="false" customHeight="false" outlineLevel="0" collapsed="false">
      <c r="A4" s="3" t="s">
        <v>338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1" t="s">
        <v>339</v>
      </c>
      <c r="B5" s="11" t="s">
        <v>89</v>
      </c>
      <c r="C5" s="11" t="s">
        <v>88</v>
      </c>
      <c r="D5" s="11" t="s">
        <v>87</v>
      </c>
    </row>
    <row r="6" customFormat="false" ht="15" hidden="false" customHeight="false" outlineLevel="0" collapsed="false">
      <c r="A6" s="6" t="s">
        <v>340</v>
      </c>
      <c r="B6" s="55" t="n">
        <v>30</v>
      </c>
      <c r="C6" s="55" t="n">
        <v>508</v>
      </c>
      <c r="D6" s="55" t="n">
        <v>287</v>
      </c>
    </row>
    <row r="7" customFormat="false" ht="15" hidden="false" customHeight="false" outlineLevel="0" collapsed="false">
      <c r="A7" s="6" t="s">
        <v>341</v>
      </c>
      <c r="B7" s="55" t="n">
        <v>17</v>
      </c>
      <c r="C7" s="55" t="n">
        <v>172</v>
      </c>
      <c r="D7" s="55" t="n">
        <v>126</v>
      </c>
    </row>
    <row r="8" customFormat="false" ht="15" hidden="false" customHeight="false" outlineLevel="0" collapsed="false">
      <c r="A8" s="6" t="s">
        <v>342</v>
      </c>
      <c r="B8" s="55" t="n">
        <v>1</v>
      </c>
      <c r="C8" s="55" t="n">
        <v>2</v>
      </c>
      <c r="D8" s="55" t="n">
        <v>1</v>
      </c>
    </row>
    <row r="9" customFormat="false" ht="15" hidden="false" customHeight="false" outlineLevel="0" collapsed="false">
      <c r="A9" s="6" t="s">
        <v>343</v>
      </c>
      <c r="B9" s="55" t="n">
        <v>0</v>
      </c>
      <c r="C9" s="55" t="n">
        <v>3</v>
      </c>
      <c r="D9" s="55" t="n">
        <v>1</v>
      </c>
    </row>
    <row r="10" customFormat="false" ht="15" hidden="false" customHeight="false" outlineLevel="0" collapsed="false">
      <c r="A10" s="6" t="s">
        <v>344</v>
      </c>
      <c r="B10" s="55" t="n">
        <v>0</v>
      </c>
      <c r="C10" s="55" t="n">
        <v>13</v>
      </c>
      <c r="D10" s="55" t="n">
        <v>4</v>
      </c>
    </row>
    <row r="11" customFormat="false" ht="15" hidden="false" customHeight="false" outlineLevel="0" collapsed="false">
      <c r="A11" s="6" t="s">
        <v>345</v>
      </c>
      <c r="B11" s="55" t="n">
        <v>1</v>
      </c>
      <c r="C11" s="55" t="n">
        <v>4</v>
      </c>
      <c r="D11" s="55" t="n">
        <v>3</v>
      </c>
    </row>
    <row r="12" customFormat="false" ht="15" hidden="false" customHeight="false" outlineLevel="0" collapsed="false">
      <c r="A12" s="6" t="s">
        <v>346</v>
      </c>
      <c r="B12" s="55" t="n">
        <v>1</v>
      </c>
      <c r="C12" s="55" t="n">
        <v>21</v>
      </c>
      <c r="D12" s="55" t="n">
        <v>13</v>
      </c>
    </row>
    <row r="13" customFormat="false" ht="15" hidden="false" customHeight="false" outlineLevel="0" collapsed="false">
      <c r="A13" s="6" t="s">
        <v>347</v>
      </c>
      <c r="B13" s="55" t="n">
        <v>11</v>
      </c>
      <c r="C13" s="55" t="n">
        <v>54</v>
      </c>
      <c r="D13" s="55" t="n">
        <v>40</v>
      </c>
    </row>
    <row r="14" customFormat="false" ht="15" hidden="false" customHeight="false" outlineLevel="0" collapsed="false">
      <c r="A14" s="6" t="s">
        <v>348</v>
      </c>
      <c r="B14" s="55" t="n">
        <v>4</v>
      </c>
      <c r="C14" s="55" t="n">
        <v>99</v>
      </c>
      <c r="D14" s="55" t="n">
        <v>59</v>
      </c>
    </row>
    <row r="15" customFormat="false" ht="15" hidden="false" customHeight="false" outlineLevel="0" collapsed="false">
      <c r="A15" s="6" t="s">
        <v>349</v>
      </c>
      <c r="B15" s="55" t="n">
        <v>2</v>
      </c>
      <c r="C15" s="55" t="n">
        <v>11</v>
      </c>
      <c r="D15" s="55" t="n">
        <v>6</v>
      </c>
    </row>
    <row r="16" customFormat="false" ht="15" hidden="false" customHeight="false" outlineLevel="0" collapsed="false">
      <c r="A16" s="6" t="s">
        <v>350</v>
      </c>
      <c r="B16" s="55" t="n">
        <v>5</v>
      </c>
      <c r="C16" s="55" t="n">
        <v>71</v>
      </c>
      <c r="D16" s="55" t="n">
        <v>72</v>
      </c>
    </row>
    <row r="17" customFormat="false" ht="15" hidden="false" customHeight="false" outlineLevel="0" collapsed="false">
      <c r="A17" s="10" t="s">
        <v>351</v>
      </c>
      <c r="B17" s="34" t="n">
        <f aca="false">(B8+B10)/B6</f>
        <v>0.0333333333333333</v>
      </c>
      <c r="C17" s="34" t="n">
        <f aca="false">(C8+C10)/C6</f>
        <v>0.0295275590551181</v>
      </c>
      <c r="D17" s="34" t="n">
        <f aca="false">(D8+D10)/D6</f>
        <v>0.0174216027874564</v>
      </c>
    </row>
    <row r="18" customFormat="false" ht="15" hidden="false" customHeight="false" outlineLevel="0" collapsed="false">
      <c r="A18" s="10" t="s">
        <v>352</v>
      </c>
      <c r="B18" s="34" t="n">
        <f aca="false">B13/B6</f>
        <v>0.366666666666667</v>
      </c>
      <c r="C18" s="34" t="n">
        <f aca="false">C13/C6</f>
        <v>0.106299212598425</v>
      </c>
      <c r="D18" s="34" t="n">
        <f aca="false">D13/D6</f>
        <v>0.139372822299652</v>
      </c>
    </row>
    <row r="19" customFormat="false" ht="15" hidden="false" customHeight="false" outlineLevel="0" collapsed="false">
      <c r="A19" s="10" t="s">
        <v>353</v>
      </c>
      <c r="B19" s="34" t="n">
        <f aca="false">B14/B6</f>
        <v>0.133333333333333</v>
      </c>
      <c r="C19" s="34" t="n">
        <f aca="false">C14/C6</f>
        <v>0.19488188976378</v>
      </c>
      <c r="D19" s="34" t="n">
        <f aca="false">D14/D6</f>
        <v>0.205574912891986</v>
      </c>
    </row>
    <row r="20" customFormat="false" ht="15" hidden="false" customHeight="false" outlineLevel="0" collapsed="false">
      <c r="A20" s="10" t="s">
        <v>354</v>
      </c>
      <c r="B20" s="34" t="n">
        <f aca="false">B12/B6</f>
        <v>0.0333333333333333</v>
      </c>
      <c r="C20" s="34" t="n">
        <f aca="false">C12/C6</f>
        <v>0.0413385826771654</v>
      </c>
      <c r="D20" s="34" t="n">
        <f aca="false">D12/D6</f>
        <v>0.0452961672473868</v>
      </c>
    </row>
    <row r="21" customFormat="false" ht="15" hidden="false" customHeight="false" outlineLevel="0" collapsed="false">
      <c r="A21" s="10" t="s">
        <v>355</v>
      </c>
      <c r="B21" s="34" t="n">
        <f aca="false">B16/B6</f>
        <v>0.166666666666667</v>
      </c>
      <c r="C21" s="34" t="n">
        <f aca="false">C16/C6</f>
        <v>0.139763779527559</v>
      </c>
      <c r="D21" s="34" t="n">
        <f aca="false">D16/D6</f>
        <v>0.250871080139373</v>
      </c>
    </row>
    <row r="23" customFormat="false" ht="15" hidden="false" customHeight="false" outlineLevel="0" collapsed="false">
      <c r="A23" s="3" t="s">
        <v>356</v>
      </c>
      <c r="B23" s="4"/>
      <c r="C23" s="4"/>
      <c r="D23" s="4"/>
      <c r="E23" s="4"/>
      <c r="F23" s="4"/>
      <c r="G23" s="4"/>
      <c r="H23" s="4"/>
    </row>
    <row r="24" customFormat="false" ht="23.85" hidden="false" customHeight="false" outlineLevel="0" collapsed="false">
      <c r="A24" s="11" t="s">
        <v>89</v>
      </c>
      <c r="B24" s="11" t="s">
        <v>357</v>
      </c>
      <c r="C24" s="11" t="s">
        <v>358</v>
      </c>
      <c r="D24" s="11" t="s">
        <v>359</v>
      </c>
    </row>
    <row r="25" customFormat="false" ht="15" hidden="false" customHeight="false" outlineLevel="0" collapsed="false">
      <c r="A25" s="6" t="s">
        <v>360</v>
      </c>
      <c r="B25" s="24" t="n">
        <v>0.4733</v>
      </c>
      <c r="C25" s="24" t="n">
        <v>0.2825</v>
      </c>
      <c r="D25" s="24" t="n">
        <v>0.1761</v>
      </c>
    </row>
    <row r="26" customFormat="false" ht="15" hidden="false" customHeight="false" outlineLevel="0" collapsed="false">
      <c r="A26" s="6" t="s">
        <v>361</v>
      </c>
      <c r="B26" s="24" t="n">
        <v>0.0444</v>
      </c>
      <c r="C26" s="24" t="n">
        <v>0.2177</v>
      </c>
      <c r="D26" s="24" t="n">
        <v>0.0344</v>
      </c>
    </row>
    <row r="27" customFormat="false" ht="15" hidden="false" customHeight="false" outlineLevel="0" collapsed="false">
      <c r="A27" s="6" t="s">
        <v>362</v>
      </c>
      <c r="B27" s="24" t="n">
        <v>0.0353</v>
      </c>
      <c r="C27" s="24" t="n">
        <v>0.1089</v>
      </c>
      <c r="D27" s="24" t="n">
        <v>0.08</v>
      </c>
    </row>
    <row r="28" customFormat="false" ht="15" hidden="false" customHeight="false" outlineLevel="0" collapsed="false">
      <c r="A28" s="6" t="s">
        <v>363</v>
      </c>
      <c r="B28" s="24" t="n">
        <v>0.0327</v>
      </c>
      <c r="C28" s="24" t="n">
        <v>0.0968</v>
      </c>
      <c r="D28" s="24" t="n">
        <v>0.0172</v>
      </c>
    </row>
    <row r="29" customFormat="false" ht="15" hidden="false" customHeight="false" outlineLevel="0" collapsed="false">
      <c r="A29" s="6" t="s">
        <v>364</v>
      </c>
      <c r="B29" s="24" t="n">
        <v>0.0389</v>
      </c>
      <c r="C29" s="24" t="n">
        <v>0.0685</v>
      </c>
      <c r="D29" s="24" t="n">
        <v>0.0273</v>
      </c>
    </row>
    <row r="31" customFormat="false" ht="23.85" hidden="false" customHeight="false" outlineLevel="0" collapsed="false">
      <c r="A31" s="11" t="s">
        <v>88</v>
      </c>
      <c r="B31" s="11" t="s">
        <v>357</v>
      </c>
      <c r="C31" s="11" t="s">
        <v>358</v>
      </c>
      <c r="D31" s="11" t="s">
        <v>359</v>
      </c>
    </row>
    <row r="32" customFormat="false" ht="15" hidden="false" customHeight="false" outlineLevel="0" collapsed="false">
      <c r="A32" s="6" t="s">
        <v>365</v>
      </c>
      <c r="B32" s="24" t="n">
        <v>0.3392</v>
      </c>
      <c r="C32" s="24" t="n">
        <v>0.2549</v>
      </c>
      <c r="D32" s="24" t="n">
        <v>0.3249</v>
      </c>
    </row>
    <row r="33" customFormat="false" ht="15" hidden="false" customHeight="false" outlineLevel="0" collapsed="false">
      <c r="A33" s="6" t="s">
        <v>366</v>
      </c>
      <c r="B33" s="24" t="n">
        <v>0.0226</v>
      </c>
      <c r="C33" s="24" t="n">
        <v>0.0562</v>
      </c>
      <c r="D33" s="24" t="n">
        <v>0.0271</v>
      </c>
    </row>
    <row r="34" customFormat="false" ht="15" hidden="false" customHeight="false" outlineLevel="0" collapsed="false">
      <c r="A34" s="6" t="s">
        <v>367</v>
      </c>
      <c r="B34" s="24"/>
      <c r="C34" s="24" t="n">
        <v>0.0475</v>
      </c>
      <c r="D34" s="24" t="n">
        <v>0.0396</v>
      </c>
    </row>
    <row r="35" customFormat="false" ht="15" hidden="false" customHeight="false" outlineLevel="0" collapsed="false">
      <c r="A35" s="6" t="s">
        <v>368</v>
      </c>
      <c r="B35" s="24"/>
      <c r="C35" s="24" t="n">
        <v>0.0367</v>
      </c>
      <c r="D35" s="24" t="n">
        <v>0.0096</v>
      </c>
    </row>
    <row r="36" customFormat="false" ht="15" hidden="false" customHeight="false" outlineLevel="0" collapsed="false">
      <c r="A36" s="6" t="s">
        <v>369</v>
      </c>
      <c r="B36" s="24"/>
      <c r="C36" s="24" t="n">
        <v>0.0367</v>
      </c>
      <c r="D36" s="24" t="n">
        <v>0.0452</v>
      </c>
    </row>
    <row r="38" customFormat="false" ht="23.85" hidden="false" customHeight="false" outlineLevel="0" collapsed="false">
      <c r="A38" s="11" t="s">
        <v>87</v>
      </c>
      <c r="B38" s="11" t="s">
        <v>357</v>
      </c>
      <c r="C38" s="11" t="s">
        <v>358</v>
      </c>
      <c r="D38" s="11" t="s">
        <v>359</v>
      </c>
    </row>
    <row r="39" customFormat="false" ht="15" hidden="false" customHeight="false" outlineLevel="0" collapsed="false">
      <c r="A39" s="6" t="s">
        <v>364</v>
      </c>
      <c r="B39" s="24" t="n">
        <v>0.0433</v>
      </c>
      <c r="C39" s="24" t="n">
        <v>0.2283</v>
      </c>
      <c r="D39" s="24" t="n">
        <v>0.0491</v>
      </c>
    </row>
    <row r="40" customFormat="false" ht="15" hidden="false" customHeight="false" outlineLevel="0" collapsed="false">
      <c r="A40" s="6" t="s">
        <v>365</v>
      </c>
      <c r="B40" s="24" t="n">
        <v>0.2055</v>
      </c>
      <c r="C40" s="24" t="n">
        <v>0.0868</v>
      </c>
      <c r="D40" s="24" t="n">
        <v>0.3157</v>
      </c>
    </row>
    <row r="41" customFormat="false" ht="15" hidden="false" customHeight="false" outlineLevel="0" collapsed="false">
      <c r="A41" s="6" t="s">
        <v>369</v>
      </c>
      <c r="B41" s="24" t="n">
        <v>0.1474</v>
      </c>
      <c r="C41" s="24" t="n">
        <v>0.0502</v>
      </c>
      <c r="D41" s="24" t="n">
        <v>0.0451</v>
      </c>
    </row>
    <row r="42" customFormat="false" ht="15" hidden="false" customHeight="false" outlineLevel="0" collapsed="false">
      <c r="A42" s="6" t="s">
        <v>366</v>
      </c>
      <c r="B42" s="24" t="n">
        <v>0.0747</v>
      </c>
      <c r="C42" s="24" t="n">
        <v>0.0457</v>
      </c>
      <c r="D42" s="24" t="n">
        <v>0.0246</v>
      </c>
    </row>
    <row r="43" customFormat="false" ht="15" hidden="false" customHeight="false" outlineLevel="0" collapsed="false">
      <c r="A43" s="6" t="s">
        <v>360</v>
      </c>
      <c r="B43" s="24" t="n">
        <v>0.1967</v>
      </c>
      <c r="C43" s="24" t="n">
        <v>0.0365</v>
      </c>
      <c r="D43" s="24" t="n">
        <v>0.0907</v>
      </c>
    </row>
    <row r="45" customFormat="false" ht="39.75" hidden="false" customHeight="true" outlineLevel="0" collapsed="false">
      <c r="A45" s="38" t="s">
        <v>370</v>
      </c>
      <c r="B45" s="38"/>
      <c r="C45" s="38"/>
      <c r="D45" s="38"/>
      <c r="E45" s="38"/>
      <c r="F45" s="38"/>
      <c r="G45" s="38"/>
      <c r="H45" s="38"/>
    </row>
    <row r="47" customFormat="false" ht="15" hidden="false" customHeight="false" outlineLevel="0" collapsed="false">
      <c r="A47" s="3" t="s">
        <v>371</v>
      </c>
      <c r="B47" s="4"/>
      <c r="C47" s="4"/>
      <c r="D47" s="4"/>
      <c r="E47" s="4"/>
      <c r="F47" s="4"/>
      <c r="G47" s="4"/>
      <c r="H47" s="4"/>
    </row>
    <row r="48" customFormat="false" ht="15" hidden="false" customHeight="false" outlineLevel="0" collapsed="false">
      <c r="A48" s="11" t="s">
        <v>372</v>
      </c>
      <c r="B48" s="11" t="s">
        <v>89</v>
      </c>
      <c r="C48" s="11" t="s">
        <v>373</v>
      </c>
      <c r="D48" s="11" t="s">
        <v>88</v>
      </c>
      <c r="E48" s="11" t="s">
        <v>373</v>
      </c>
      <c r="F48" s="11" t="s">
        <v>87</v>
      </c>
      <c r="G48" s="11" t="s">
        <v>373</v>
      </c>
    </row>
    <row r="49" customFormat="false" ht="15" hidden="false" customHeight="false" outlineLevel="0" collapsed="false">
      <c r="A49" s="6" t="n">
        <v>1</v>
      </c>
      <c r="B49" s="5" t="s">
        <v>374</v>
      </c>
      <c r="C49" s="24" t="n">
        <v>0.319</v>
      </c>
      <c r="D49" s="5" t="s">
        <v>375</v>
      </c>
      <c r="E49" s="24" t="n">
        <v>0.5257</v>
      </c>
      <c r="F49" s="5" t="s">
        <v>376</v>
      </c>
      <c r="G49" s="24" t="n">
        <v>0.5184</v>
      </c>
    </row>
    <row r="50" customFormat="false" ht="15" hidden="false" customHeight="false" outlineLevel="0" collapsed="false">
      <c r="A50" s="6" t="n">
        <v>2</v>
      </c>
      <c r="B50" s="5" t="s">
        <v>377</v>
      </c>
      <c r="C50" s="24" t="n">
        <v>0.212</v>
      </c>
      <c r="D50" s="5" t="s">
        <v>374</v>
      </c>
      <c r="E50" s="24" t="n">
        <v>0.319</v>
      </c>
      <c r="F50" s="5" t="s">
        <v>374</v>
      </c>
      <c r="G50" s="24" t="n">
        <v>0.319</v>
      </c>
    </row>
    <row r="51" customFormat="false" ht="15" hidden="false" customHeight="false" outlineLevel="0" collapsed="false">
      <c r="A51" s="6" t="n">
        <v>3</v>
      </c>
      <c r="B51" s="5" t="s">
        <v>378</v>
      </c>
      <c r="C51" s="24" t="n">
        <v>0.2064</v>
      </c>
      <c r="D51" s="5" t="s">
        <v>379</v>
      </c>
      <c r="E51" s="24" t="n">
        <v>0.2651</v>
      </c>
      <c r="F51" s="5" t="s">
        <v>380</v>
      </c>
      <c r="G51" s="24" t="n">
        <v>0.225</v>
      </c>
    </row>
    <row r="52" customFormat="false" ht="15" hidden="false" customHeight="false" outlineLevel="0" collapsed="false">
      <c r="A52" s="6" t="n">
        <v>4</v>
      </c>
      <c r="B52" s="5" t="s">
        <v>381</v>
      </c>
      <c r="C52" s="24" t="n">
        <v>-0.1654</v>
      </c>
      <c r="D52" s="5" t="s">
        <v>382</v>
      </c>
      <c r="E52" s="24" t="n">
        <v>0.2638</v>
      </c>
      <c r="F52" s="5" t="s">
        <v>377</v>
      </c>
      <c r="G52" s="24" t="n">
        <v>0.2137</v>
      </c>
    </row>
    <row r="53" customFormat="false" ht="15" hidden="false" customHeight="false" outlineLevel="0" collapsed="false">
      <c r="A53" s="6" t="n">
        <v>5</v>
      </c>
      <c r="B53" s="5" t="s">
        <v>383</v>
      </c>
      <c r="C53" s="24" t="n">
        <v>-0.1559</v>
      </c>
      <c r="D53" s="5" t="s">
        <v>377</v>
      </c>
      <c r="E53" s="24" t="n">
        <v>0.2133</v>
      </c>
      <c r="F53" s="5" t="s">
        <v>381</v>
      </c>
      <c r="G53" s="24" t="n">
        <v>-0.1654</v>
      </c>
    </row>
    <row r="54" customFormat="false" ht="39.75" hidden="false" customHeight="true" outlineLevel="0" collapsed="false">
      <c r="A54" s="38" t="s">
        <v>384</v>
      </c>
      <c r="B54" s="38"/>
      <c r="C54" s="38"/>
      <c r="D54" s="38"/>
      <c r="E54" s="38"/>
      <c r="F54" s="38"/>
      <c r="G54" s="38"/>
      <c r="H54" s="38"/>
    </row>
    <row r="56" customFormat="false" ht="15" hidden="false" customHeight="false" outlineLevel="0" collapsed="false">
      <c r="A56" s="3" t="s">
        <v>385</v>
      </c>
      <c r="B56" s="4"/>
      <c r="C56" s="4"/>
      <c r="D56" s="4"/>
      <c r="E56" s="4"/>
      <c r="F56" s="4"/>
      <c r="G56" s="4"/>
      <c r="H56" s="4"/>
    </row>
    <row r="57" customFormat="false" ht="43.5" hidden="false" customHeight="true" outlineLevel="0" collapsed="false">
      <c r="A57" s="11" t="s">
        <v>386</v>
      </c>
      <c r="B57" s="11" t="s">
        <v>387</v>
      </c>
      <c r="C57" s="11" t="s">
        <v>388</v>
      </c>
      <c r="D57" s="11" t="s">
        <v>389</v>
      </c>
      <c r="E57" s="11" t="s">
        <v>390</v>
      </c>
      <c r="F57" s="11" t="s">
        <v>391</v>
      </c>
      <c r="G57" s="11" t="s">
        <v>392</v>
      </c>
      <c r="H57" s="11" t="s">
        <v>393</v>
      </c>
    </row>
    <row r="58" customFormat="false" ht="15" hidden="false" customHeight="false" outlineLevel="0" collapsed="false">
      <c r="A58" s="6" t="s">
        <v>394</v>
      </c>
      <c r="B58" s="24" t="n">
        <v>0.0253</v>
      </c>
      <c r="C58" s="58" t="n">
        <v>0.0128</v>
      </c>
      <c r="D58" s="5" t="s">
        <v>218</v>
      </c>
      <c r="E58" s="24" t="n">
        <v>-0.0087</v>
      </c>
      <c r="F58" s="59" t="s">
        <v>395</v>
      </c>
      <c r="G58" s="59" t="s">
        <v>396</v>
      </c>
      <c r="H58" s="60" t="n">
        <f aca="false">IF(G58="N",N(C58),0)</f>
        <v>0</v>
      </c>
    </row>
    <row r="59" customFormat="false" ht="15" hidden="false" customHeight="false" outlineLevel="0" collapsed="false">
      <c r="A59" s="6" t="s">
        <v>397</v>
      </c>
      <c r="B59" s="24" t="n">
        <v>0.48</v>
      </c>
      <c r="C59" s="58" t="n">
        <v>0.0042</v>
      </c>
      <c r="D59" s="5" t="s">
        <v>218</v>
      </c>
      <c r="E59" s="24" t="n">
        <v>0.0046</v>
      </c>
      <c r="F59" s="59" t="s">
        <v>395</v>
      </c>
      <c r="G59" s="59" t="s">
        <v>396</v>
      </c>
      <c r="H59" s="60" t="n">
        <f aca="false">IF(G59="N",N(C59),0)</f>
        <v>0</v>
      </c>
    </row>
    <row r="60" customFormat="false" ht="15" hidden="false" customHeight="false" outlineLevel="0" collapsed="false">
      <c r="A60" s="6" t="s">
        <v>398</v>
      </c>
      <c r="B60" s="24" t="n">
        <v>0.1702</v>
      </c>
      <c r="C60" s="58" t="n">
        <v>0.0025</v>
      </c>
      <c r="D60" s="5" t="s">
        <v>218</v>
      </c>
      <c r="E60" s="24" t="n">
        <v>-0.0009</v>
      </c>
      <c r="F60" s="59" t="s">
        <v>395</v>
      </c>
      <c r="G60" s="59" t="s">
        <v>395</v>
      </c>
      <c r="H60" s="60" t="n">
        <f aca="false">IF(G60="N",N(C60),0)</f>
        <v>0.0025</v>
      </c>
    </row>
    <row r="61" customFormat="false" ht="15" hidden="false" customHeight="false" outlineLevel="0" collapsed="false">
      <c r="A61" s="6" t="s">
        <v>399</v>
      </c>
      <c r="B61" s="24" t="n">
        <v>0.1272</v>
      </c>
      <c r="C61" s="58" t="n">
        <v>0.0014</v>
      </c>
      <c r="D61" s="5" t="s">
        <v>218</v>
      </c>
      <c r="E61" s="24" t="n">
        <v>0.1818</v>
      </c>
      <c r="F61" s="59" t="s">
        <v>396</v>
      </c>
      <c r="G61" s="59" t="s">
        <v>395</v>
      </c>
      <c r="H61" s="60" t="n">
        <f aca="false">IF(G61="N",N(C61),0)</f>
        <v>0.0014</v>
      </c>
    </row>
    <row r="62" customFormat="false" ht="15" hidden="false" customHeight="false" outlineLevel="0" collapsed="false">
      <c r="A62" s="6" t="s">
        <v>400</v>
      </c>
      <c r="B62" s="24" t="n">
        <v>0.0059</v>
      </c>
      <c r="C62" s="58" t="n">
        <v>0.0012</v>
      </c>
      <c r="D62" s="5" t="s">
        <v>401</v>
      </c>
      <c r="E62" s="24" t="n">
        <v>-0.0438</v>
      </c>
      <c r="F62" s="59" t="s">
        <v>395</v>
      </c>
      <c r="G62" s="59" t="s">
        <v>395</v>
      </c>
      <c r="H62" s="60" t="n">
        <f aca="false">IF(G62="N",N(C62),0)</f>
        <v>0.0012</v>
      </c>
    </row>
    <row r="63" customFormat="false" ht="15" hidden="false" customHeight="false" outlineLevel="0" collapsed="false">
      <c r="A63" s="6" t="s">
        <v>402</v>
      </c>
      <c r="B63" s="24" t="n">
        <v>0.0032</v>
      </c>
      <c r="C63" s="58" t="n">
        <v>0.0008</v>
      </c>
      <c r="D63" s="5" t="s">
        <v>218</v>
      </c>
      <c r="E63" s="24" t="n">
        <v>0.0646</v>
      </c>
      <c r="F63" s="59" t="s">
        <v>395</v>
      </c>
      <c r="G63" s="59" t="s">
        <v>395</v>
      </c>
      <c r="H63" s="60" t="n">
        <f aca="false">IF(G63="N",N(C63),0)</f>
        <v>0.0008</v>
      </c>
    </row>
    <row r="64" customFormat="false" ht="15" hidden="false" customHeight="false" outlineLevel="0" collapsed="false">
      <c r="A64" s="6" t="s">
        <v>403</v>
      </c>
      <c r="B64" s="24" t="n">
        <v>0.3861</v>
      </c>
      <c r="C64" s="58" t="n">
        <v>0.0007</v>
      </c>
      <c r="D64" s="5" t="s">
        <v>218</v>
      </c>
      <c r="E64" s="24" t="n">
        <v>-0.0805</v>
      </c>
      <c r="F64" s="59" t="s">
        <v>396</v>
      </c>
      <c r="G64" s="59" t="s">
        <v>395</v>
      </c>
      <c r="H64" s="60" t="n">
        <f aca="false">IF(G64="N",N(C64),0)</f>
        <v>0.0007</v>
      </c>
    </row>
    <row r="65" customFormat="false" ht="15" hidden="false" customHeight="false" outlineLevel="0" collapsed="false">
      <c r="A65" s="6" t="s">
        <v>404</v>
      </c>
      <c r="B65" s="24" t="n">
        <v>0.2206</v>
      </c>
      <c r="C65" s="58" t="n">
        <v>0.0005</v>
      </c>
      <c r="D65" s="5" t="s">
        <v>218</v>
      </c>
      <c r="E65" s="24" t="n">
        <v>0.534</v>
      </c>
      <c r="F65" s="59" t="s">
        <v>396</v>
      </c>
      <c r="G65" s="59" t="s">
        <v>395</v>
      </c>
      <c r="H65" s="60" t="n">
        <f aca="false">IF(G65="N",N(C65),0)</f>
        <v>0.0005</v>
      </c>
    </row>
    <row r="66" customFormat="false" ht="15" hidden="false" customHeight="false" outlineLevel="0" collapsed="false">
      <c r="A66" s="6" t="s">
        <v>405</v>
      </c>
      <c r="B66" s="24" t="n">
        <v>0.1387</v>
      </c>
      <c r="C66" s="58" t="n">
        <v>0.0004</v>
      </c>
      <c r="D66" s="5" t="s">
        <v>218</v>
      </c>
      <c r="E66" s="24" t="n">
        <v>0.1875</v>
      </c>
      <c r="F66" s="59" t="s">
        <v>396</v>
      </c>
      <c r="G66" s="59" t="s">
        <v>395</v>
      </c>
      <c r="H66" s="60" t="n">
        <f aca="false">IF(G66="N",N(C66),0)</f>
        <v>0.0004</v>
      </c>
    </row>
    <row r="67" customFormat="false" ht="15" hidden="false" customHeight="false" outlineLevel="0" collapsed="false">
      <c r="A67" s="6" t="s">
        <v>406</v>
      </c>
      <c r="B67" s="24" t="n">
        <v>0.4733</v>
      </c>
      <c r="C67" s="58" t="n">
        <v>0.0004</v>
      </c>
      <c r="D67" s="5" t="s">
        <v>218</v>
      </c>
      <c r="E67" s="24" t="n">
        <v>-0.0068</v>
      </c>
      <c r="F67" s="59" t="s">
        <v>396</v>
      </c>
      <c r="G67" s="59" t="s">
        <v>395</v>
      </c>
      <c r="H67" s="60" t="n">
        <f aca="false">IF(G67="N",N(C67),0)</f>
        <v>0.0004</v>
      </c>
    </row>
    <row r="68" customFormat="false" ht="15" hidden="false" customHeight="false" outlineLevel="0" collapsed="false">
      <c r="A68" s="6" t="s">
        <v>407</v>
      </c>
      <c r="B68" s="24" t="n">
        <v>0.015</v>
      </c>
      <c r="C68" s="58" t="n">
        <v>0.0003</v>
      </c>
      <c r="D68" s="5" t="s">
        <v>218</v>
      </c>
      <c r="E68" s="24" t="n">
        <v>-0.0617</v>
      </c>
      <c r="F68" s="59" t="s">
        <v>395</v>
      </c>
      <c r="G68" s="59" t="s">
        <v>395</v>
      </c>
      <c r="H68" s="60" t="n">
        <f aca="false">IF(G68="N",N(C68),0)</f>
        <v>0.0003</v>
      </c>
    </row>
    <row r="69" customFormat="false" ht="15" hidden="false" customHeight="false" outlineLevel="0" collapsed="false">
      <c r="A69" s="6" t="s">
        <v>408</v>
      </c>
      <c r="B69" s="24" t="n">
        <v>0.0007</v>
      </c>
      <c r="C69" s="58" t="n">
        <v>0.0003</v>
      </c>
      <c r="D69" s="5" t="s">
        <v>401</v>
      </c>
      <c r="E69" s="24" t="n">
        <v>-0.081</v>
      </c>
      <c r="F69" s="59" t="s">
        <v>395</v>
      </c>
      <c r="G69" s="59" t="s">
        <v>395</v>
      </c>
      <c r="H69" s="60" t="n">
        <f aca="false">IF(G69="N",N(C69),0)</f>
        <v>0.0003</v>
      </c>
    </row>
    <row r="70" customFormat="false" ht="15" hidden="false" customHeight="false" outlineLevel="0" collapsed="false">
      <c r="A70" s="6" t="s">
        <v>409</v>
      </c>
      <c r="B70" s="24" t="n">
        <v>0.0459</v>
      </c>
      <c r="C70" s="58" t="n">
        <v>0.0003</v>
      </c>
      <c r="D70" s="5" t="s">
        <v>218</v>
      </c>
      <c r="E70" s="24" t="n">
        <v>0.28</v>
      </c>
      <c r="F70" s="59" t="s">
        <v>396</v>
      </c>
      <c r="G70" s="59" t="s">
        <v>395</v>
      </c>
      <c r="H70" s="60" t="n">
        <f aca="false">IF(G70="N",N(C70),0)</f>
        <v>0.0003</v>
      </c>
    </row>
    <row r="71" customFormat="false" ht="15" hidden="false" customHeight="false" outlineLevel="0" collapsed="false">
      <c r="A71" s="6" t="s">
        <v>410</v>
      </c>
      <c r="B71" s="24" t="n">
        <v>0.9939</v>
      </c>
      <c r="C71" s="58" t="n">
        <v>0.0003</v>
      </c>
      <c r="D71" s="5" t="s">
        <v>218</v>
      </c>
      <c r="E71" s="24" t="n">
        <v>0.2222</v>
      </c>
      <c r="F71" s="59" t="s">
        <v>396</v>
      </c>
      <c r="G71" s="59" t="s">
        <v>395</v>
      </c>
      <c r="H71" s="60" t="n">
        <f aca="false">IF(G71="N",N(C71),0)</f>
        <v>0.0003</v>
      </c>
    </row>
    <row r="72" customFormat="false" ht="15" hidden="false" customHeight="false" outlineLevel="0" collapsed="false">
      <c r="A72" s="6" t="s">
        <v>411</v>
      </c>
      <c r="B72" s="24" t="n">
        <v>0.1124</v>
      </c>
      <c r="C72" s="58" t="n">
        <v>0.0002</v>
      </c>
      <c r="D72" s="5" t="s">
        <v>218</v>
      </c>
      <c r="E72" s="24" t="n">
        <v>-0.0658</v>
      </c>
      <c r="F72" s="59" t="s">
        <v>396</v>
      </c>
      <c r="G72" s="59" t="s">
        <v>395</v>
      </c>
      <c r="H72" s="60" t="n">
        <f aca="false">IF(G72="N",N(C72),0)</f>
        <v>0.0002</v>
      </c>
    </row>
    <row r="73" customFormat="false" ht="15" hidden="false" customHeight="false" outlineLevel="0" collapsed="false">
      <c r="A73" s="6" t="s">
        <v>412</v>
      </c>
      <c r="B73" s="24" t="n">
        <v>0.0013</v>
      </c>
      <c r="C73" s="58" t="n">
        <v>0.0002</v>
      </c>
      <c r="D73" s="5" t="s">
        <v>218</v>
      </c>
      <c r="E73" s="24" t="n">
        <v>0.0082</v>
      </c>
      <c r="F73" s="59" t="s">
        <v>395</v>
      </c>
      <c r="G73" s="59" t="s">
        <v>396</v>
      </c>
      <c r="H73" s="60" t="n">
        <f aca="false">IF(G73="N",N(C73),0)</f>
        <v>0</v>
      </c>
    </row>
    <row r="74" customFormat="false" ht="15" hidden="false" customHeight="false" outlineLevel="0" collapsed="false">
      <c r="A74" s="6" t="s">
        <v>413</v>
      </c>
      <c r="B74" s="24" t="n">
        <v>0.0018</v>
      </c>
      <c r="C74" s="58" t="n">
        <v>0.0001</v>
      </c>
      <c r="D74" s="5" t="s">
        <v>218</v>
      </c>
      <c r="E74" s="24" t="n">
        <v>0.3406</v>
      </c>
      <c r="F74" s="59" t="s">
        <v>395</v>
      </c>
      <c r="G74" s="59" t="s">
        <v>395</v>
      </c>
      <c r="H74" s="60" t="n">
        <f aca="false">IF(G74="N",N(C74),0)</f>
        <v>0.0001</v>
      </c>
    </row>
    <row r="75" customFormat="false" ht="15" hidden="false" customHeight="false" outlineLevel="0" collapsed="false">
      <c r="A75" s="6" t="s">
        <v>414</v>
      </c>
      <c r="B75" s="24"/>
      <c r="C75" s="58"/>
      <c r="D75" s="5"/>
      <c r="E75" s="24" t="n">
        <v>0.2875</v>
      </c>
      <c r="F75" s="59" t="s">
        <v>395</v>
      </c>
      <c r="G75" s="59" t="s">
        <v>395</v>
      </c>
      <c r="H75" s="60" t="n">
        <f aca="false">IF(G75="N",N(C75),0)</f>
        <v>0</v>
      </c>
    </row>
    <row r="76" customFormat="false" ht="15" hidden="false" customHeight="false" outlineLevel="0" collapsed="false">
      <c r="A76" s="6" t="s">
        <v>415</v>
      </c>
      <c r="B76" s="24"/>
      <c r="C76" s="58"/>
      <c r="D76" s="5"/>
      <c r="E76" s="24" t="n">
        <v>0.2109</v>
      </c>
      <c r="F76" s="59" t="s">
        <v>395</v>
      </c>
      <c r="G76" s="59" t="s">
        <v>395</v>
      </c>
      <c r="H76" s="60" t="n">
        <f aca="false">IF(G76="N",N(C76),0)</f>
        <v>0</v>
      </c>
    </row>
    <row r="77" customFormat="false" ht="15" hidden="false" customHeight="false" outlineLevel="0" collapsed="false">
      <c r="A77" s="6" t="s">
        <v>416</v>
      </c>
      <c r="B77" s="24"/>
      <c r="C77" s="58"/>
      <c r="D77" s="5"/>
      <c r="E77" s="24" t="n">
        <v>-0.2459</v>
      </c>
      <c r="F77" s="59" t="s">
        <v>395</v>
      </c>
      <c r="G77" s="59" t="s">
        <v>395</v>
      </c>
      <c r="H77" s="60" t="n">
        <f aca="false">IF(G77="N",N(C77),0)</f>
        <v>0</v>
      </c>
    </row>
    <row r="78" customFormat="false" ht="15" hidden="false" customHeight="false" outlineLevel="0" collapsed="false">
      <c r="A78" s="6" t="s">
        <v>417</v>
      </c>
      <c r="B78" s="24"/>
      <c r="C78" s="58"/>
      <c r="D78" s="5"/>
      <c r="E78" s="24" t="n">
        <v>0.1648</v>
      </c>
      <c r="F78" s="59" t="s">
        <v>396</v>
      </c>
      <c r="G78" s="59" t="s">
        <v>395</v>
      </c>
      <c r="H78" s="60" t="n">
        <f aca="false">IF(G78="N",N(C78),0)</f>
        <v>0</v>
      </c>
    </row>
    <row r="79" customFormat="false" ht="15" hidden="false" customHeight="false" outlineLevel="0" collapsed="false">
      <c r="A79" s="6" t="s">
        <v>418</v>
      </c>
      <c r="B79" s="24"/>
      <c r="C79" s="58"/>
      <c r="D79" s="5"/>
      <c r="E79" s="24"/>
      <c r="F79" s="59" t="s">
        <v>395</v>
      </c>
      <c r="G79" s="59" t="s">
        <v>395</v>
      </c>
      <c r="H79" s="60" t="n">
        <f aca="false">IF(G79="N",N(C79),0)</f>
        <v>0</v>
      </c>
    </row>
    <row r="80" customFormat="false" ht="15" hidden="false" customHeight="false" outlineLevel="0" collapsed="false">
      <c r="A80" s="6" t="s">
        <v>419</v>
      </c>
      <c r="B80" s="24"/>
      <c r="C80" s="58"/>
      <c r="D80" s="5"/>
      <c r="E80" s="24" t="n">
        <v>0.3571</v>
      </c>
      <c r="F80" s="59" t="s">
        <v>396</v>
      </c>
      <c r="G80" s="59" t="s">
        <v>395</v>
      </c>
      <c r="H80" s="60" t="n">
        <f aca="false">IF(G80="N",N(C80),0)</f>
        <v>0</v>
      </c>
    </row>
    <row r="81" customFormat="false" ht="15" hidden="false" customHeight="false" outlineLevel="0" collapsed="false">
      <c r="A81" s="6" t="s">
        <v>420</v>
      </c>
      <c r="B81" s="24"/>
      <c r="C81" s="58"/>
      <c r="D81" s="5"/>
      <c r="E81" s="24" t="n">
        <v>-0.0811</v>
      </c>
      <c r="F81" s="59" t="s">
        <v>395</v>
      </c>
      <c r="G81" s="59" t="s">
        <v>395</v>
      </c>
      <c r="H81" s="60" t="n">
        <f aca="false">IF(G81="N",N(C81),0)</f>
        <v>0</v>
      </c>
    </row>
    <row r="82" customFormat="false" ht="15" hidden="false" customHeight="false" outlineLevel="0" collapsed="false">
      <c r="A82" s="10" t="s">
        <v>421</v>
      </c>
      <c r="B82" s="60" t="n">
        <f aca="false">SUM(C58:C81)</f>
        <v>0.0266</v>
      </c>
    </row>
    <row r="83" customFormat="false" ht="15" hidden="false" customHeight="false" outlineLevel="0" collapsed="false">
      <c r="A83" s="10" t="s">
        <v>422</v>
      </c>
      <c r="B83" s="61" t="n">
        <f aca="false">SUMIF(F58:F81,"Y",C58:C81)</f>
        <v>0.0042</v>
      </c>
    </row>
    <row r="84" customFormat="false" ht="15" hidden="false" customHeight="false" outlineLevel="0" collapsed="false">
      <c r="A84" s="10" t="s">
        <v>423</v>
      </c>
      <c r="B84" s="50" t="n">
        <f aca="false">COUNTIF(F58:F81,"Y")</f>
        <v>10</v>
      </c>
    </row>
    <row r="85" customFormat="false" ht="15" hidden="false" customHeight="false" outlineLevel="0" collapsed="false">
      <c r="A85" s="10" t="s">
        <v>424</v>
      </c>
      <c r="B85" s="62" t="n">
        <f aca="false">SUMPRODUCT((F58:F81="Y")*C58:C81*B58:B81)/SUMIF(F58:F81,"Y",C58:C81)</f>
        <v>0.270921428571429</v>
      </c>
    </row>
    <row r="86" customFormat="false" ht="15" hidden="false" customHeight="false" outlineLevel="0" collapsed="false">
      <c r="A86" s="10" t="s">
        <v>425</v>
      </c>
      <c r="B86" s="31" t="n">
        <f aca="false">SUMPRODUCT(H58:H81^2)/SUM(H58:H81)^2*10000</f>
        <v>1330.91896785876</v>
      </c>
    </row>
    <row r="87" customFormat="false" ht="15" hidden="false" customHeight="false" outlineLevel="0" collapsed="false">
      <c r="A87" s="10" t="s">
        <v>426</v>
      </c>
      <c r="B87" s="34" t="n">
        <f aca="false">(LARGE(H58:H81,1)+LARGE(H58:H81,2)+LARGE(H58:H81,3))/SUM(H58:H81)</f>
        <v>0.542553191489362</v>
      </c>
    </row>
    <row r="88" customFormat="false" ht="66" hidden="false" customHeight="true" outlineLevel="0" collapsed="false">
      <c r="A88" s="38" t="s">
        <v>427</v>
      </c>
      <c r="B88" s="38"/>
      <c r="C88" s="38"/>
      <c r="D88" s="38"/>
      <c r="E88" s="38"/>
      <c r="F88" s="38"/>
      <c r="G88" s="38"/>
      <c r="H88" s="38"/>
    </row>
    <row r="90" customFormat="false" ht="15" hidden="false" customHeight="false" outlineLevel="0" collapsed="false">
      <c r="A90" s="3" t="s">
        <v>428</v>
      </c>
      <c r="B90" s="4"/>
      <c r="C90" s="4"/>
      <c r="D90" s="4"/>
      <c r="E90" s="4"/>
      <c r="F90" s="4"/>
      <c r="G90" s="4"/>
      <c r="H90" s="4"/>
    </row>
    <row r="91" customFormat="false" ht="43.5" hidden="false" customHeight="true" outlineLevel="0" collapsed="false">
      <c r="A91" s="11" t="s">
        <v>386</v>
      </c>
      <c r="B91" s="11" t="s">
        <v>429</v>
      </c>
      <c r="C91" s="11" t="s">
        <v>430</v>
      </c>
      <c r="D91" s="11" t="s">
        <v>389</v>
      </c>
      <c r="E91" s="11" t="s">
        <v>390</v>
      </c>
      <c r="F91" s="11" t="s">
        <v>431</v>
      </c>
    </row>
    <row r="92" customFormat="false" ht="15" hidden="false" customHeight="false" outlineLevel="0" collapsed="false">
      <c r="A92" s="6" t="s">
        <v>432</v>
      </c>
      <c r="B92" s="24" t="n">
        <v>0.0547</v>
      </c>
      <c r="C92" s="58" t="n">
        <v>0.0217</v>
      </c>
      <c r="D92" s="5" t="s">
        <v>218</v>
      </c>
      <c r="E92" s="24" t="n">
        <v>-0.0258</v>
      </c>
      <c r="F92" s="5" t="s">
        <v>433</v>
      </c>
    </row>
    <row r="93" customFormat="false" ht="15" hidden="false" customHeight="false" outlineLevel="0" collapsed="false">
      <c r="A93" s="6" t="s">
        <v>434</v>
      </c>
      <c r="B93" s="24" t="n">
        <v>0.14</v>
      </c>
      <c r="C93" s="58" t="n">
        <v>0.0154</v>
      </c>
      <c r="D93" s="5" t="s">
        <v>218</v>
      </c>
      <c r="E93" s="24" t="n">
        <v>-0.2143</v>
      </c>
      <c r="F93" s="5" t="s">
        <v>433</v>
      </c>
    </row>
    <row r="94" customFormat="false" ht="15" hidden="false" customHeight="false" outlineLevel="0" collapsed="false">
      <c r="A94" s="6" t="s">
        <v>435</v>
      </c>
      <c r="B94" s="24" t="n">
        <v>0.0595</v>
      </c>
      <c r="C94" s="58" t="n">
        <v>0.0117</v>
      </c>
      <c r="D94" s="5" t="s">
        <v>218</v>
      </c>
      <c r="E94" s="24" t="n">
        <v>0.1897</v>
      </c>
      <c r="F94" s="5" t="s">
        <v>436</v>
      </c>
    </row>
    <row r="95" customFormat="false" ht="15" hidden="false" customHeight="false" outlineLevel="0" collapsed="false">
      <c r="A95" s="6" t="s">
        <v>437</v>
      </c>
      <c r="B95" s="24" t="n">
        <v>0.0021</v>
      </c>
      <c r="C95" s="58" t="n">
        <v>0.0106</v>
      </c>
      <c r="D95" s="5" t="s">
        <v>438</v>
      </c>
      <c r="E95" s="24" t="n">
        <v>-0.0021</v>
      </c>
      <c r="F95" s="5" t="s">
        <v>439</v>
      </c>
    </row>
    <row r="96" customFormat="false" ht="15" hidden="false" customHeight="false" outlineLevel="0" collapsed="false">
      <c r="A96" s="6" t="s">
        <v>440</v>
      </c>
      <c r="B96" s="24" t="n">
        <v>0.0378</v>
      </c>
      <c r="C96" s="58" t="n">
        <v>0.0093</v>
      </c>
      <c r="D96" s="5" t="s">
        <v>218</v>
      </c>
      <c r="E96" s="24" t="n">
        <v>-0.0061</v>
      </c>
      <c r="F96" s="5" t="s">
        <v>433</v>
      </c>
    </row>
    <row r="97" customFormat="false" ht="15" hidden="false" customHeight="false" outlineLevel="0" collapsed="false">
      <c r="A97" s="6" t="s">
        <v>441</v>
      </c>
      <c r="B97" s="24" t="n">
        <v>0.0319</v>
      </c>
      <c r="C97" s="58" t="n">
        <v>0.0069</v>
      </c>
      <c r="D97" s="5" t="s">
        <v>218</v>
      </c>
      <c r="E97" s="24" t="n">
        <v>-0.004</v>
      </c>
      <c r="F97" s="5" t="s">
        <v>433</v>
      </c>
    </row>
    <row r="98" customFormat="false" ht="15" hidden="false" customHeight="false" outlineLevel="0" collapsed="false">
      <c r="A98" s="6" t="s">
        <v>442</v>
      </c>
      <c r="B98" s="24" t="n">
        <v>0.0013</v>
      </c>
      <c r="C98" s="58" t="n">
        <v>0.0067</v>
      </c>
      <c r="D98" s="5" t="s">
        <v>401</v>
      </c>
      <c r="E98" s="24" t="n">
        <v>-0.0554</v>
      </c>
      <c r="F98" s="5" t="s">
        <v>439</v>
      </c>
    </row>
    <row r="99" customFormat="false" ht="15" hidden="false" customHeight="false" outlineLevel="0" collapsed="false">
      <c r="A99" s="6" t="s">
        <v>443</v>
      </c>
      <c r="B99" s="24" t="n">
        <v>0.0437</v>
      </c>
      <c r="C99" s="58" t="n">
        <v>0.0063</v>
      </c>
      <c r="D99" s="5" t="s">
        <v>218</v>
      </c>
      <c r="E99" s="24" t="n">
        <v>0.1283</v>
      </c>
      <c r="F99" s="5" t="s">
        <v>436</v>
      </c>
    </row>
    <row r="100" customFormat="false" ht="15" hidden="false" customHeight="false" outlineLevel="0" collapsed="false">
      <c r="A100" s="6" t="s">
        <v>444</v>
      </c>
      <c r="B100" s="24" t="n">
        <v>0.0144</v>
      </c>
      <c r="C100" s="58" t="n">
        <v>0.0043</v>
      </c>
      <c r="D100" s="5" t="s">
        <v>218</v>
      </c>
      <c r="E100" s="24" t="n">
        <v>-0.0676</v>
      </c>
      <c r="F100" s="5" t="s">
        <v>436</v>
      </c>
    </row>
    <row r="101" customFormat="false" ht="15" hidden="false" customHeight="false" outlineLevel="0" collapsed="false">
      <c r="A101" s="6" t="s">
        <v>445</v>
      </c>
      <c r="B101" s="24" t="n">
        <v>0.0376</v>
      </c>
      <c r="C101" s="58" t="n">
        <v>0.0038</v>
      </c>
      <c r="D101" s="5" t="s">
        <v>218</v>
      </c>
      <c r="E101" s="24" t="n">
        <v>0.1061</v>
      </c>
      <c r="F101" s="5" t="s">
        <v>436</v>
      </c>
    </row>
    <row r="102" customFormat="false" ht="15" hidden="false" customHeight="false" outlineLevel="0" collapsed="false">
      <c r="A102" s="6" t="s">
        <v>446</v>
      </c>
      <c r="B102" s="24" t="n">
        <v>0.1568</v>
      </c>
      <c r="C102" s="58" t="n">
        <v>0.0037</v>
      </c>
      <c r="D102" s="5" t="s">
        <v>218</v>
      </c>
      <c r="E102" s="24" t="n">
        <v>-0.121</v>
      </c>
      <c r="F102" s="5" t="s">
        <v>447</v>
      </c>
    </row>
    <row r="103" customFormat="false" ht="15" hidden="false" customHeight="false" outlineLevel="0" collapsed="false">
      <c r="A103" s="6" t="s">
        <v>448</v>
      </c>
      <c r="B103" s="24" t="n">
        <v>0.0129</v>
      </c>
      <c r="C103" s="58" t="n">
        <v>0.0036</v>
      </c>
      <c r="D103" s="5" t="s">
        <v>218</v>
      </c>
      <c r="E103" s="24" t="n">
        <v>0.0938</v>
      </c>
      <c r="F103" s="5" t="s">
        <v>449</v>
      </c>
    </row>
    <row r="104" customFormat="false" ht="15" hidden="false" customHeight="false" outlineLevel="0" collapsed="false">
      <c r="A104" s="6" t="s">
        <v>450</v>
      </c>
      <c r="B104" s="24" t="n">
        <v>0.0208</v>
      </c>
      <c r="C104" s="58" t="n">
        <v>0.0033</v>
      </c>
      <c r="D104" s="5" t="s">
        <v>218</v>
      </c>
      <c r="E104" s="24" t="n">
        <v>-0.0732</v>
      </c>
      <c r="F104" s="5" t="s">
        <v>451</v>
      </c>
    </row>
    <row r="105" customFormat="false" ht="15" hidden="false" customHeight="false" outlineLevel="0" collapsed="false">
      <c r="A105" s="6" t="s">
        <v>452</v>
      </c>
      <c r="B105" s="24" t="n">
        <v>0.0245</v>
      </c>
      <c r="C105" s="58" t="n">
        <v>0.0029</v>
      </c>
      <c r="D105" s="5" t="s">
        <v>218</v>
      </c>
      <c r="E105" s="24" t="n">
        <v>-0.3876</v>
      </c>
      <c r="F105" s="5" t="s">
        <v>433</v>
      </c>
    </row>
    <row r="106" customFormat="false" ht="15" hidden="false" customHeight="false" outlineLevel="0" collapsed="false">
      <c r="A106" s="6" t="s">
        <v>453</v>
      </c>
      <c r="B106" s="24" t="n">
        <v>0.036</v>
      </c>
      <c r="C106" s="58" t="n">
        <v>0.0028</v>
      </c>
      <c r="D106" s="5" t="s">
        <v>218</v>
      </c>
      <c r="E106" s="24" t="n">
        <v>0.0304</v>
      </c>
      <c r="F106" s="5" t="s">
        <v>433</v>
      </c>
    </row>
    <row r="107" customFormat="false" ht="15" hidden="false" customHeight="false" outlineLevel="0" collapsed="false">
      <c r="A107" s="6" t="s">
        <v>454</v>
      </c>
      <c r="B107" s="24" t="n">
        <v>0.0115</v>
      </c>
      <c r="C107" s="58" t="n">
        <v>0.0027</v>
      </c>
      <c r="D107" s="5" t="s">
        <v>218</v>
      </c>
      <c r="E107" s="24" t="n">
        <v>0.2196</v>
      </c>
      <c r="F107" s="5" t="s">
        <v>436</v>
      </c>
    </row>
    <row r="108" customFormat="false" ht="15" hidden="false" customHeight="false" outlineLevel="0" collapsed="false">
      <c r="A108" s="6" t="s">
        <v>455</v>
      </c>
      <c r="B108" s="24" t="n">
        <v>0.0345</v>
      </c>
      <c r="C108" s="58" t="n">
        <v>0.0025</v>
      </c>
      <c r="D108" s="5" t="s">
        <v>218</v>
      </c>
      <c r="E108" s="24" t="n">
        <v>-0.0837</v>
      </c>
      <c r="F108" s="5" t="s">
        <v>456</v>
      </c>
    </row>
    <row r="109" customFormat="false" ht="15" hidden="false" customHeight="false" outlineLevel="0" collapsed="false">
      <c r="A109" s="6" t="s">
        <v>457</v>
      </c>
      <c r="B109" s="24" t="n">
        <v>0.0017</v>
      </c>
      <c r="C109" s="58" t="n">
        <v>0.002</v>
      </c>
      <c r="D109" s="5" t="s">
        <v>218</v>
      </c>
      <c r="E109" s="24" t="n">
        <v>-0.0146</v>
      </c>
      <c r="F109" s="5" t="s">
        <v>439</v>
      </c>
    </row>
    <row r="110" customFormat="false" ht="15" hidden="false" customHeight="false" outlineLevel="0" collapsed="false">
      <c r="A110" s="6" t="s">
        <v>458</v>
      </c>
      <c r="B110" s="24" t="n">
        <v>0.0149</v>
      </c>
      <c r="C110" s="58" t="n">
        <v>0.002</v>
      </c>
      <c r="D110" s="5" t="s">
        <v>218</v>
      </c>
      <c r="E110" s="24" t="n">
        <v>-0.2019</v>
      </c>
      <c r="F110" s="5" t="s">
        <v>433</v>
      </c>
    </row>
    <row r="111" customFormat="false" ht="15" hidden="false" customHeight="false" outlineLevel="0" collapsed="false">
      <c r="A111" s="6" t="s">
        <v>459</v>
      </c>
      <c r="B111" s="24" t="n">
        <v>0.0278</v>
      </c>
      <c r="C111" s="58" t="n">
        <v>0.0016</v>
      </c>
      <c r="D111" s="5" t="s">
        <v>218</v>
      </c>
      <c r="E111" s="24" t="n">
        <v>-0.0685</v>
      </c>
      <c r="F111" s="5" t="s">
        <v>433</v>
      </c>
    </row>
    <row r="112" customFormat="false" ht="15" hidden="false" customHeight="false" outlineLevel="0" collapsed="false">
      <c r="A112" s="6" t="s">
        <v>460</v>
      </c>
      <c r="B112" s="24" t="n">
        <v>0.0091</v>
      </c>
      <c r="C112" s="58" t="n">
        <v>0.0014</v>
      </c>
      <c r="D112" s="5" t="s">
        <v>218</v>
      </c>
      <c r="E112" s="24" t="n">
        <v>-0.0963</v>
      </c>
      <c r="F112" s="5" t="s">
        <v>456</v>
      </c>
    </row>
    <row r="113" customFormat="false" ht="15" hidden="false" customHeight="false" outlineLevel="0" collapsed="false">
      <c r="A113" s="6" t="s">
        <v>461</v>
      </c>
      <c r="B113" s="24" t="n">
        <v>0.0278</v>
      </c>
      <c r="C113" s="58" t="n">
        <v>0.0013</v>
      </c>
      <c r="D113" s="5" t="s">
        <v>218</v>
      </c>
      <c r="E113" s="24" t="n">
        <v>-0.0392</v>
      </c>
      <c r="F113" s="5" t="s">
        <v>462</v>
      </c>
    </row>
    <row r="114" customFormat="false" ht="15" hidden="false" customHeight="false" outlineLevel="0" collapsed="false">
      <c r="A114" s="6" t="s">
        <v>463</v>
      </c>
      <c r="B114" s="24" t="n">
        <v>0.0021</v>
      </c>
      <c r="C114" s="58" t="n">
        <v>0.0012</v>
      </c>
      <c r="D114" s="5" t="s">
        <v>218</v>
      </c>
      <c r="E114" s="24" t="n">
        <v>-0.0274</v>
      </c>
      <c r="F114" s="5" t="s">
        <v>447</v>
      </c>
    </row>
    <row r="115" customFormat="false" ht="15" hidden="false" customHeight="false" outlineLevel="0" collapsed="false">
      <c r="A115" s="6" t="s">
        <v>464</v>
      </c>
      <c r="B115" s="24" t="n">
        <v>0.0018</v>
      </c>
      <c r="C115" s="58" t="n">
        <v>0.001</v>
      </c>
      <c r="D115" s="5" t="s">
        <v>218</v>
      </c>
      <c r="E115" s="24" t="n">
        <v>-0.0792</v>
      </c>
      <c r="F115" s="5" t="s">
        <v>439</v>
      </c>
    </row>
    <row r="116" customFormat="false" ht="15" hidden="false" customHeight="false" outlineLevel="0" collapsed="false">
      <c r="A116" s="10" t="s">
        <v>465</v>
      </c>
      <c r="B116" s="60" t="n">
        <f aca="false">SUM(C92:C115)</f>
        <v>0.1287</v>
      </c>
    </row>
    <row r="117" customFormat="false" ht="15" hidden="false" customHeight="false" outlineLevel="0" collapsed="false">
      <c r="A117" s="10" t="s">
        <v>466</v>
      </c>
      <c r="B117" s="63" t="n">
        <f aca="false">COUNTIF(F92:F115,"Palm*")</f>
        <v>0</v>
      </c>
    </row>
    <row r="118" customFormat="false" ht="15" hidden="false" customHeight="false" outlineLevel="0" collapsed="false">
      <c r="A118" s="10" t="s">
        <v>467</v>
      </c>
      <c r="B118" s="34" t="n">
        <f aca="false">SUMIF(F92:F115,"Packaging",C92:C115)/SUM(C92:C115)</f>
        <v>0.486402486402486</v>
      </c>
    </row>
    <row r="119" customFormat="false" ht="15" hidden="false" customHeight="false" outlineLevel="0" collapsed="false">
      <c r="A119" s="10" t="s">
        <v>468</v>
      </c>
      <c r="B119" s="31" t="n">
        <f aca="false">SUMPRODUCT(C92:C115^2)/SUM(C92:C115)^2*10000</f>
        <v>780.556747922715</v>
      </c>
    </row>
    <row r="121" customFormat="false" ht="15" hidden="false" customHeight="false" outlineLevel="0" collapsed="false">
      <c r="A121" s="3" t="s">
        <v>469</v>
      </c>
      <c r="B121" s="4"/>
      <c r="C121" s="4"/>
      <c r="D121" s="4"/>
      <c r="E121" s="4"/>
      <c r="F121" s="4"/>
      <c r="G121" s="4"/>
      <c r="H121" s="4"/>
    </row>
    <row r="122" customFormat="false" ht="43.5" hidden="false" customHeight="true" outlineLevel="0" collapsed="false">
      <c r="A122" s="11" t="s">
        <v>386</v>
      </c>
      <c r="B122" s="11" t="s">
        <v>470</v>
      </c>
      <c r="C122" s="11" t="s">
        <v>471</v>
      </c>
      <c r="D122" s="11" t="s">
        <v>389</v>
      </c>
      <c r="E122" s="11" t="s">
        <v>390</v>
      </c>
      <c r="F122" s="11" t="s">
        <v>431</v>
      </c>
    </row>
    <row r="123" customFormat="false" ht="15" hidden="false" customHeight="false" outlineLevel="0" collapsed="false">
      <c r="A123" s="6" t="s">
        <v>442</v>
      </c>
      <c r="B123" s="24" t="n">
        <v>0.012</v>
      </c>
      <c r="C123" s="58" t="n">
        <v>0.0528</v>
      </c>
      <c r="D123" s="5" t="s">
        <v>401</v>
      </c>
      <c r="E123" s="24" t="n">
        <v>-0.0554</v>
      </c>
      <c r="F123" s="5" t="s">
        <v>439</v>
      </c>
    </row>
    <row r="124" customFormat="false" ht="15" hidden="false" customHeight="false" outlineLevel="0" collapsed="false">
      <c r="A124" s="6" t="s">
        <v>444</v>
      </c>
      <c r="B124" s="24" t="n">
        <v>0.042</v>
      </c>
      <c r="C124" s="58" t="n">
        <v>0.0248</v>
      </c>
      <c r="D124" s="5" t="s">
        <v>218</v>
      </c>
      <c r="E124" s="24" t="n">
        <v>-0.0676</v>
      </c>
      <c r="F124" s="5" t="s">
        <v>436</v>
      </c>
    </row>
    <row r="125" customFormat="false" ht="15" hidden="false" customHeight="false" outlineLevel="0" collapsed="false">
      <c r="A125" s="6" t="s">
        <v>435</v>
      </c>
      <c r="B125" s="24" t="n">
        <v>0.0437</v>
      </c>
      <c r="C125" s="58" t="n">
        <v>0.013</v>
      </c>
      <c r="D125" s="5" t="s">
        <v>218</v>
      </c>
      <c r="E125" s="24" t="n">
        <v>0.1897</v>
      </c>
      <c r="F125" s="5" t="s">
        <v>436</v>
      </c>
    </row>
    <row r="126" customFormat="false" ht="15" hidden="false" customHeight="false" outlineLevel="0" collapsed="false">
      <c r="A126" s="6" t="s">
        <v>432</v>
      </c>
      <c r="B126" s="24" t="n">
        <v>0.0186</v>
      </c>
      <c r="C126" s="58" t="n">
        <v>0.0112</v>
      </c>
      <c r="D126" s="5" t="s">
        <v>218</v>
      </c>
      <c r="E126" s="24" t="n">
        <v>-0.0258</v>
      </c>
      <c r="F126" s="5" t="s">
        <v>433</v>
      </c>
    </row>
    <row r="127" customFormat="false" ht="15" hidden="false" customHeight="false" outlineLevel="0" collapsed="false">
      <c r="A127" s="6" t="s">
        <v>445</v>
      </c>
      <c r="B127" s="24" t="n">
        <v>0.0461</v>
      </c>
      <c r="C127" s="58" t="n">
        <v>0.0087</v>
      </c>
      <c r="D127" s="5" t="s">
        <v>218</v>
      </c>
      <c r="E127" s="24" t="n">
        <v>0.1061</v>
      </c>
      <c r="F127" s="5" t="s">
        <v>436</v>
      </c>
    </row>
    <row r="128" customFormat="false" ht="15" hidden="false" customHeight="false" outlineLevel="0" collapsed="false">
      <c r="A128" s="6" t="s">
        <v>472</v>
      </c>
      <c r="B128" s="24" t="n">
        <v>0.0016</v>
      </c>
      <c r="C128" s="58" t="n">
        <v>0.0075</v>
      </c>
      <c r="D128" s="5" t="s">
        <v>438</v>
      </c>
      <c r="E128" s="24" t="n">
        <v>0.219</v>
      </c>
      <c r="F128" s="5" t="s">
        <v>439</v>
      </c>
    </row>
    <row r="129" customFormat="false" ht="15" hidden="false" customHeight="false" outlineLevel="0" collapsed="false">
      <c r="A129" s="6" t="s">
        <v>443</v>
      </c>
      <c r="B129" s="24" t="n">
        <v>0.0238</v>
      </c>
      <c r="C129" s="58" t="n">
        <v>0.0068</v>
      </c>
      <c r="D129" s="5" t="s">
        <v>218</v>
      </c>
      <c r="E129" s="24" t="n">
        <v>0.1283</v>
      </c>
      <c r="F129" s="5" t="s">
        <v>436</v>
      </c>
    </row>
    <row r="130" customFormat="false" ht="15" hidden="false" customHeight="false" outlineLevel="0" collapsed="false">
      <c r="A130" s="6" t="s">
        <v>453</v>
      </c>
      <c r="B130" s="24" t="n">
        <v>0.0473</v>
      </c>
      <c r="C130" s="58" t="n">
        <v>0.0055</v>
      </c>
      <c r="D130" s="5" t="s">
        <v>218</v>
      </c>
      <c r="E130" s="24" t="n">
        <v>0.0304</v>
      </c>
      <c r="F130" s="5" t="s">
        <v>433</v>
      </c>
    </row>
    <row r="131" customFormat="false" ht="15" hidden="false" customHeight="false" outlineLevel="0" collapsed="false">
      <c r="A131" s="6" t="s">
        <v>454</v>
      </c>
      <c r="B131" s="24" t="n">
        <v>0.0104</v>
      </c>
      <c r="C131" s="58" t="n">
        <v>0.004</v>
      </c>
      <c r="D131" s="5" t="s">
        <v>218</v>
      </c>
      <c r="E131" s="24" t="n">
        <v>0.2196</v>
      </c>
      <c r="F131" s="5" t="s">
        <v>436</v>
      </c>
    </row>
    <row r="132" customFormat="false" ht="15" hidden="false" customHeight="false" outlineLevel="0" collapsed="false">
      <c r="A132" s="6" t="s">
        <v>459</v>
      </c>
      <c r="B132" s="24" t="n">
        <v>0.0337</v>
      </c>
      <c r="C132" s="58" t="n">
        <v>0.004</v>
      </c>
      <c r="D132" s="5" t="s">
        <v>218</v>
      </c>
      <c r="E132" s="24" t="n">
        <v>-0.0685</v>
      </c>
      <c r="F132" s="5" t="s">
        <v>433</v>
      </c>
    </row>
    <row r="133" customFormat="false" ht="15" hidden="false" customHeight="false" outlineLevel="0" collapsed="false">
      <c r="A133" s="6" t="s">
        <v>434</v>
      </c>
      <c r="B133" s="24" t="n">
        <v>0.0213</v>
      </c>
      <c r="C133" s="58" t="n">
        <v>0.0035</v>
      </c>
      <c r="D133" s="5" t="s">
        <v>218</v>
      </c>
      <c r="E133" s="24" t="n">
        <v>-0.2143</v>
      </c>
      <c r="F133" s="5" t="s">
        <v>433</v>
      </c>
    </row>
    <row r="134" customFormat="false" ht="15" hidden="false" customHeight="false" outlineLevel="0" collapsed="false">
      <c r="A134" s="6" t="s">
        <v>440</v>
      </c>
      <c r="B134" s="24" t="n">
        <v>0.0084</v>
      </c>
      <c r="C134" s="58" t="n">
        <v>0.0031</v>
      </c>
      <c r="D134" s="5" t="s">
        <v>218</v>
      </c>
      <c r="E134" s="24" t="n">
        <v>-0.0061</v>
      </c>
      <c r="F134" s="5" t="s">
        <v>433</v>
      </c>
    </row>
    <row r="135" customFormat="false" ht="15" hidden="false" customHeight="false" outlineLevel="0" collapsed="false">
      <c r="A135" s="6" t="s">
        <v>448</v>
      </c>
      <c r="B135" s="24" t="n">
        <v>0.006</v>
      </c>
      <c r="C135" s="58" t="n">
        <v>0.0026</v>
      </c>
      <c r="D135" s="5" t="s">
        <v>218</v>
      </c>
      <c r="E135" s="24" t="n">
        <v>0.0938</v>
      </c>
      <c r="F135" s="5" t="s">
        <v>449</v>
      </c>
    </row>
    <row r="136" customFormat="false" ht="15" hidden="false" customHeight="false" outlineLevel="0" collapsed="false">
      <c r="A136" s="6" t="s">
        <v>455</v>
      </c>
      <c r="B136" s="24" t="n">
        <v>0.0159</v>
      </c>
      <c r="C136" s="58" t="n">
        <v>0.0023</v>
      </c>
      <c r="D136" s="5" t="s">
        <v>218</v>
      </c>
      <c r="E136" s="24" t="n">
        <v>-0.0837</v>
      </c>
      <c r="F136" s="5" t="s">
        <v>456</v>
      </c>
    </row>
    <row r="137" customFormat="false" ht="15" hidden="false" customHeight="false" outlineLevel="0" collapsed="false">
      <c r="A137" s="6" t="s">
        <v>473</v>
      </c>
      <c r="B137" s="24" t="n">
        <v>0.005</v>
      </c>
      <c r="C137" s="58" t="n">
        <v>0.0023</v>
      </c>
      <c r="D137" s="5" t="s">
        <v>401</v>
      </c>
      <c r="E137" s="24" t="n">
        <v>0.0952</v>
      </c>
      <c r="F137" s="5" t="s">
        <v>439</v>
      </c>
    </row>
    <row r="138" customFormat="false" ht="15" hidden="false" customHeight="false" outlineLevel="0" collapsed="false">
      <c r="A138" s="6" t="s">
        <v>457</v>
      </c>
      <c r="B138" s="24" t="n">
        <v>0.0008</v>
      </c>
      <c r="C138" s="58" t="n">
        <v>0.0021</v>
      </c>
      <c r="D138" s="5" t="s">
        <v>218</v>
      </c>
      <c r="E138" s="24" t="n">
        <v>-0.0146</v>
      </c>
      <c r="F138" s="5" t="s">
        <v>439</v>
      </c>
    </row>
    <row r="139" customFormat="false" ht="15" hidden="false" customHeight="false" outlineLevel="0" collapsed="false">
      <c r="A139" s="6" t="s">
        <v>463</v>
      </c>
      <c r="B139" s="24" t="n">
        <v>0.0023</v>
      </c>
      <c r="C139" s="58" t="n">
        <v>0.0019</v>
      </c>
      <c r="D139" s="5" t="s">
        <v>218</v>
      </c>
      <c r="E139" s="24" t="n">
        <v>-0.0274</v>
      </c>
      <c r="F139" s="5" t="s">
        <v>447</v>
      </c>
    </row>
    <row r="140" customFormat="false" ht="15" hidden="false" customHeight="false" outlineLevel="0" collapsed="false">
      <c r="A140" s="6" t="s">
        <v>474</v>
      </c>
      <c r="B140" s="24" t="n">
        <v>0.0277</v>
      </c>
      <c r="C140" s="58" t="n">
        <v>0.0019</v>
      </c>
      <c r="D140" s="5" t="s">
        <v>218</v>
      </c>
      <c r="E140" s="24" t="n">
        <v>-0.0509</v>
      </c>
      <c r="F140" s="5" t="s">
        <v>462</v>
      </c>
    </row>
    <row r="141" customFormat="false" ht="15" hidden="false" customHeight="false" outlineLevel="0" collapsed="false">
      <c r="A141" s="6" t="s">
        <v>452</v>
      </c>
      <c r="B141" s="24" t="n">
        <v>0.0089</v>
      </c>
      <c r="C141" s="58" t="n">
        <v>0.0016</v>
      </c>
      <c r="D141" s="5" t="s">
        <v>218</v>
      </c>
      <c r="E141" s="24" t="n">
        <v>-0.3876</v>
      </c>
      <c r="F141" s="5" t="s">
        <v>433</v>
      </c>
    </row>
    <row r="142" customFormat="false" ht="15" hidden="false" customHeight="false" outlineLevel="0" collapsed="false">
      <c r="A142" s="6" t="s">
        <v>475</v>
      </c>
      <c r="B142" s="24" t="n">
        <v>0.0979</v>
      </c>
      <c r="C142" s="58" t="n">
        <v>0.0016</v>
      </c>
      <c r="D142" s="5" t="s">
        <v>218</v>
      </c>
      <c r="E142" s="24" t="n">
        <v>0.3004</v>
      </c>
      <c r="F142" s="5" t="s">
        <v>451</v>
      </c>
    </row>
    <row r="143" customFormat="false" ht="15" hidden="false" customHeight="false" outlineLevel="0" collapsed="false">
      <c r="A143" s="6" t="s">
        <v>476</v>
      </c>
      <c r="B143" s="24" t="n">
        <v>0.0014</v>
      </c>
      <c r="C143" s="58" t="n">
        <v>0.0014</v>
      </c>
      <c r="D143" s="5" t="s">
        <v>218</v>
      </c>
      <c r="E143" s="24" t="n">
        <v>0.0656</v>
      </c>
      <c r="F143" s="5" t="s">
        <v>449</v>
      </c>
    </row>
    <row r="144" customFormat="false" ht="15" hidden="false" customHeight="false" outlineLevel="0" collapsed="false">
      <c r="A144" s="6" t="s">
        <v>477</v>
      </c>
      <c r="B144" s="24" t="n">
        <v>0.0536</v>
      </c>
      <c r="C144" s="58" t="n">
        <v>0.0011</v>
      </c>
      <c r="D144" s="5" t="s">
        <v>218</v>
      </c>
      <c r="E144" s="24" t="n">
        <v>-0.0185</v>
      </c>
      <c r="F144" s="5" t="s">
        <v>433</v>
      </c>
    </row>
    <row r="145" customFormat="false" ht="15" hidden="false" customHeight="false" outlineLevel="0" collapsed="false">
      <c r="A145" s="6" t="s">
        <v>458</v>
      </c>
      <c r="B145" s="24" t="n">
        <v>0.0044</v>
      </c>
      <c r="C145" s="58" t="n">
        <v>0.001</v>
      </c>
      <c r="D145" s="5" t="s">
        <v>218</v>
      </c>
      <c r="E145" s="24" t="n">
        <v>-0.2019</v>
      </c>
      <c r="F145" s="5" t="s">
        <v>433</v>
      </c>
    </row>
    <row r="146" customFormat="false" ht="15" hidden="false" customHeight="false" outlineLevel="0" collapsed="false">
      <c r="A146" s="6" t="s">
        <v>402</v>
      </c>
      <c r="B146" s="24" t="n">
        <v>0.0024</v>
      </c>
      <c r="C146" s="58" t="n">
        <v>0.001</v>
      </c>
      <c r="D146" s="5" t="s">
        <v>218</v>
      </c>
      <c r="E146" s="24" t="n">
        <v>0.0646</v>
      </c>
      <c r="F146" s="5" t="s">
        <v>451</v>
      </c>
    </row>
    <row r="147" customFormat="false" ht="15" hidden="false" customHeight="false" outlineLevel="0" collapsed="false">
      <c r="A147" s="10" t="s">
        <v>465</v>
      </c>
      <c r="B147" s="60" t="n">
        <f aca="false">SUM(C123:C146)</f>
        <v>0.1657</v>
      </c>
    </row>
    <row r="148" customFormat="false" ht="15" hidden="false" customHeight="false" outlineLevel="0" collapsed="false">
      <c r="A148" s="10" t="s">
        <v>466</v>
      </c>
      <c r="B148" s="63" t="n">
        <f aca="false">COUNTIF(F123:F146,"Palm*")</f>
        <v>0</v>
      </c>
    </row>
    <row r="149" customFormat="false" ht="15" hidden="false" customHeight="false" outlineLevel="0" collapsed="false">
      <c r="A149" s="10" t="s">
        <v>467</v>
      </c>
      <c r="B149" s="34" t="n">
        <f aca="false">SUMIF(F123:F146,"Packaging",C123:C146)/SUM(C123:C146)</f>
        <v>0.187085093542547</v>
      </c>
    </row>
    <row r="150" customFormat="false" ht="15" hidden="false" customHeight="false" outlineLevel="0" collapsed="false">
      <c r="A150" s="10" t="s">
        <v>468</v>
      </c>
      <c r="B150" s="31" t="n">
        <f aca="false">SUMPRODUCT(C123:C146^2)/SUM(C123:C146)^2*10000</f>
        <v>1456.43889659603</v>
      </c>
    </row>
    <row r="152" customFormat="false" ht="66" hidden="false" customHeight="true" outlineLevel="0" collapsed="false">
      <c r="A152" s="38" t="s">
        <v>478</v>
      </c>
      <c r="B152" s="38"/>
      <c r="C152" s="38"/>
      <c r="D152" s="38"/>
      <c r="E152" s="38"/>
      <c r="F152" s="38"/>
      <c r="G152" s="38"/>
      <c r="H152" s="38"/>
    </row>
    <row r="154" customFormat="false" ht="15" hidden="false" customHeight="false" outlineLevel="0" collapsed="false">
      <c r="A154" s="3" t="s">
        <v>479</v>
      </c>
      <c r="B154" s="4"/>
      <c r="C154" s="4"/>
      <c r="D154" s="4"/>
      <c r="E154" s="4"/>
      <c r="F154" s="4"/>
      <c r="G154" s="4"/>
      <c r="H154" s="4"/>
    </row>
    <row r="155" customFormat="false" ht="15" hidden="false" customHeight="false" outlineLevel="0" collapsed="false">
      <c r="A155" s="11"/>
      <c r="B155" s="11" t="s">
        <v>88</v>
      </c>
      <c r="C155" s="11" t="s">
        <v>87</v>
      </c>
    </row>
    <row r="156" customFormat="false" ht="15" hidden="false" customHeight="false" outlineLevel="0" collapsed="false">
      <c r="A156" s="6" t="s">
        <v>480</v>
      </c>
      <c r="B156" s="24" t="n">
        <v>0.0771</v>
      </c>
      <c r="C156" s="24" t="n">
        <v>0.0712</v>
      </c>
    </row>
    <row r="157" customFormat="false" ht="15" hidden="false" customHeight="false" outlineLevel="0" collapsed="false">
      <c r="A157" s="6" t="s">
        <v>481</v>
      </c>
      <c r="B157" s="24" t="n">
        <v>0.0273</v>
      </c>
      <c r="C157" s="24" t="n">
        <v>0.0278</v>
      </c>
    </row>
    <row r="158" customFormat="false" ht="15" hidden="false" customHeight="false" outlineLevel="0" collapsed="false">
      <c r="A158" s="6" t="s">
        <v>482</v>
      </c>
      <c r="B158" s="24" t="n">
        <v>0.0266</v>
      </c>
      <c r="C158" s="24" t="n">
        <v>0.0211</v>
      </c>
    </row>
    <row r="159" customFormat="false" ht="15" hidden="false" customHeight="false" outlineLevel="0" collapsed="false">
      <c r="A159" s="6" t="s">
        <v>483</v>
      </c>
      <c r="B159" s="24" t="n">
        <v>0.0261</v>
      </c>
      <c r="C159" s="24" t="n">
        <v>0.0157</v>
      </c>
    </row>
    <row r="160" customFormat="false" ht="15" hidden="false" customHeight="false" outlineLevel="0" collapsed="false">
      <c r="A160" s="6" t="s">
        <v>484</v>
      </c>
      <c r="B160" s="24" t="n">
        <v>0.0247</v>
      </c>
      <c r="C160" s="24" t="n">
        <v>0.0154</v>
      </c>
    </row>
    <row r="161" customFormat="false" ht="15" hidden="false" customHeight="false" outlineLevel="0" collapsed="false">
      <c r="A161" s="6" t="s">
        <v>485</v>
      </c>
      <c r="B161" s="24" t="n">
        <v>0.0239</v>
      </c>
      <c r="C161" s="24" t="n">
        <v>0.0148</v>
      </c>
    </row>
    <row r="162" customFormat="false" ht="15" hidden="false" customHeight="false" outlineLevel="0" collapsed="false">
      <c r="A162" s="6" t="s">
        <v>486</v>
      </c>
      <c r="B162" s="24" t="n">
        <v>0.0227</v>
      </c>
      <c r="C162" s="24" t="n">
        <v>0.0121</v>
      </c>
    </row>
    <row r="163" customFormat="false" ht="15" hidden="false" customHeight="false" outlineLevel="0" collapsed="false">
      <c r="A163" s="6" t="s">
        <v>487</v>
      </c>
      <c r="B163" s="24" t="n">
        <v>0.0214</v>
      </c>
      <c r="C163" s="24" t="n">
        <v>0.0104</v>
      </c>
    </row>
    <row r="164" customFormat="false" ht="15" hidden="false" customHeight="false" outlineLevel="0" collapsed="false">
      <c r="A164" s="6" t="s">
        <v>488</v>
      </c>
      <c r="B164" s="24" t="n">
        <v>0.0182</v>
      </c>
      <c r="C164" s="24" t="n">
        <v>0.0094</v>
      </c>
    </row>
    <row r="165" customFormat="false" ht="15" hidden="false" customHeight="false" outlineLevel="0" collapsed="false">
      <c r="A165" s="6" t="s">
        <v>489</v>
      </c>
      <c r="B165" s="24" t="n">
        <v>0.0133</v>
      </c>
      <c r="C165" s="24" t="n">
        <v>0.009</v>
      </c>
    </row>
    <row r="166" customFormat="false" ht="15" hidden="false" customHeight="false" outlineLevel="0" collapsed="false">
      <c r="A166" s="10" t="s">
        <v>490</v>
      </c>
      <c r="B166" s="34" t="n">
        <f aca="false">SUM(B156:B165)</f>
        <v>0.2813</v>
      </c>
      <c r="C166" s="34" t="n">
        <f aca="false">SUM(C156:C165)</f>
        <v>0.2069</v>
      </c>
    </row>
  </sheetData>
  <mergeCells count="4">
    <mergeCell ref="A45:H45"/>
    <mergeCell ref="A54:H54"/>
    <mergeCell ref="A88:H88"/>
    <mergeCell ref="A152:H1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72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491</v>
      </c>
    </row>
    <row r="2" customFormat="false" ht="15" hidden="false" customHeight="false" outlineLevel="0" collapsed="false">
      <c r="A2" s="2" t="s">
        <v>492</v>
      </c>
    </row>
    <row r="4" customFormat="false" ht="15" hidden="false" customHeight="false" outlineLevel="0" collapsed="false">
      <c r="A4" s="10" t="s">
        <v>493</v>
      </c>
      <c r="B4" s="64" t="n">
        <v>46310</v>
      </c>
      <c r="C4" s="10" t="s">
        <v>494</v>
      </c>
      <c r="D4" s="65" t="n">
        <f aca="false">EDATE(B4,-12)</f>
        <v>45945</v>
      </c>
    </row>
    <row r="6" customFormat="false" ht="43.5" hidden="false" customHeight="true" outlineLevel="0" collapsed="false">
      <c r="A6" s="11" t="s">
        <v>495</v>
      </c>
      <c r="B6" s="11" t="s">
        <v>496</v>
      </c>
      <c r="C6" s="11" t="s">
        <v>497</v>
      </c>
      <c r="D6" s="11" t="s">
        <v>498</v>
      </c>
      <c r="E6" s="11" t="s">
        <v>499</v>
      </c>
      <c r="F6" s="11" t="s">
        <v>500</v>
      </c>
    </row>
    <row r="7" customFormat="false" ht="15" hidden="false" customHeight="false" outlineLevel="0" collapsed="false">
      <c r="A7" s="10" t="s">
        <v>501</v>
      </c>
      <c r="B7" s="50" t="n">
        <f aca="false">COUNTIFS($B$14:$B$35,A7,$H$14:$H$35,TRUE(),$E$14:$E$35,-1,$D$14:$D$35,"&lt;&gt;Antitrust*")</f>
        <v>5</v>
      </c>
      <c r="C7" s="63" t="n">
        <f aca="false">SUMIFS($I$14:$I$35,$B$14:$B$35,A7)</f>
        <v>12</v>
      </c>
      <c r="D7" s="50" t="n">
        <f aca="false">COUNTIFS($B$14:$B$35,A7,$H$14:$H$35,TRUE(),$E$14:$E$35,1)</f>
        <v>0</v>
      </c>
      <c r="E7" s="50" t="n">
        <f aca="false">SUMIFS($G$14:$G$35,$B$14:$B$35,A7,$H$14:$H$35,TRUE())</f>
        <v>12</v>
      </c>
      <c r="F7" s="5" t="s">
        <v>502</v>
      </c>
    </row>
    <row r="8" customFormat="false" ht="15" hidden="false" customHeight="false" outlineLevel="0" collapsed="false">
      <c r="A8" s="10" t="s">
        <v>503</v>
      </c>
      <c r="B8" s="50" t="n">
        <f aca="false">COUNTIFS($B$14:$B$35,A8,$H$14:$H$35,TRUE(),$E$14:$E$35,-1,$D$14:$D$35,"&lt;&gt;Antitrust*")</f>
        <v>1</v>
      </c>
      <c r="C8" s="63" t="n">
        <f aca="false">SUMIFS($I$14:$I$35,$B$14:$B$35,A8)</f>
        <v>1</v>
      </c>
      <c r="D8" s="50" t="n">
        <f aca="false">COUNTIFS($B$14:$B$35,A8,$H$14:$H$35,TRUE(),$E$14:$E$35,1)</f>
        <v>0</v>
      </c>
      <c r="E8" s="50" t="n">
        <f aca="false">SUMIFS($G$14:$G$35,$B$14:$B$35,A8,$H$14:$H$35,TRUE())</f>
        <v>5</v>
      </c>
      <c r="F8" s="5" t="s">
        <v>504</v>
      </c>
    </row>
    <row r="9" customFormat="false" ht="15" hidden="false" customHeight="false" outlineLevel="0" collapsed="false">
      <c r="A9" s="10" t="s">
        <v>505</v>
      </c>
      <c r="B9" s="50" t="n">
        <f aca="false">COUNTIFS($B$14:$B$35,A9,$H$14:$H$35,TRUE(),$E$14:$E$35,-1,$D$14:$D$35,"&lt;&gt;Antitrust*")</f>
        <v>6</v>
      </c>
      <c r="C9" s="63" t="n">
        <f aca="false">SUMIFS($I$14:$I$35,$B$14:$B$35,A9)</f>
        <v>19</v>
      </c>
      <c r="D9" s="50" t="n">
        <f aca="false">COUNTIFS($B$14:$B$35,A9,$H$14:$H$35,TRUE(),$E$14:$E$35,1)</f>
        <v>2</v>
      </c>
      <c r="E9" s="50" t="n">
        <f aca="false">SUMIFS($G$14:$G$35,$B$14:$B$35,A9,$H$14:$H$35,TRUE())</f>
        <v>26</v>
      </c>
      <c r="F9" s="5" t="s">
        <v>506</v>
      </c>
    </row>
    <row r="11" customFormat="false" ht="43.5" hidden="false" customHeight="true" outlineLevel="0" collapsed="false">
      <c r="A11" s="38" t="s">
        <v>507</v>
      </c>
      <c r="B11" s="38"/>
      <c r="C11" s="38"/>
      <c r="D11" s="38"/>
      <c r="E11" s="38"/>
      <c r="F11" s="38"/>
      <c r="G11" s="38"/>
      <c r="H11" s="38"/>
      <c r="I11" s="38"/>
      <c r="J11" s="38"/>
    </row>
    <row r="13" customFormat="false" ht="31.5" hidden="false" customHeight="true" outlineLevel="0" collapsed="false">
      <c r="A13" s="11" t="s">
        <v>508</v>
      </c>
      <c r="B13" s="11" t="s">
        <v>509</v>
      </c>
      <c r="C13" s="11" t="s">
        <v>510</v>
      </c>
      <c r="D13" s="11" t="s">
        <v>511</v>
      </c>
      <c r="E13" s="11" t="s">
        <v>512</v>
      </c>
      <c r="F13" s="11" t="s">
        <v>513</v>
      </c>
      <c r="G13" s="11" t="s">
        <v>514</v>
      </c>
      <c r="H13" s="11" t="s">
        <v>515</v>
      </c>
      <c r="I13" s="11" t="s">
        <v>516</v>
      </c>
      <c r="J13" s="11" t="s">
        <v>517</v>
      </c>
    </row>
    <row r="14" customFormat="false" ht="15" hidden="false" customHeight="false" outlineLevel="0" collapsed="false">
      <c r="A14" s="66" t="n">
        <v>46308</v>
      </c>
      <c r="B14" s="5" t="s">
        <v>505</v>
      </c>
      <c r="C14" s="67" t="s">
        <v>518</v>
      </c>
      <c r="D14" s="5" t="s">
        <v>519</v>
      </c>
      <c r="E14" s="68" t="n">
        <v>1</v>
      </c>
      <c r="F14" s="68" t="n">
        <v>0</v>
      </c>
      <c r="G14" s="68" t="n">
        <v>1</v>
      </c>
      <c r="H14" s="69" t="b">
        <f aca="false">AND(A14&gt;=$D$4,A14&lt;=$B$4)</f>
        <v>1</v>
      </c>
      <c r="I14" s="50" t="n">
        <f aca="false">IF(AND(H14,E14&lt;0,LEFT(D14,9)&lt;&gt;"Antitrust"),F14,0)</f>
        <v>0</v>
      </c>
      <c r="J14" s="5" t="s">
        <v>520</v>
      </c>
    </row>
    <row r="15" customFormat="false" ht="15" hidden="false" customHeight="false" outlineLevel="0" collapsed="false">
      <c r="A15" s="66" t="n">
        <v>46276</v>
      </c>
      <c r="B15" s="5" t="s">
        <v>505</v>
      </c>
      <c r="C15" s="67" t="s">
        <v>521</v>
      </c>
      <c r="D15" s="5" t="s">
        <v>522</v>
      </c>
      <c r="E15" s="68" t="n">
        <v>0</v>
      </c>
      <c r="F15" s="68" t="n">
        <v>0</v>
      </c>
      <c r="G15" s="68" t="n">
        <v>3</v>
      </c>
      <c r="H15" s="69" t="b">
        <f aca="false">AND(A15&gt;=$D$4,A15&lt;=$B$4)</f>
        <v>1</v>
      </c>
      <c r="I15" s="50" t="n">
        <f aca="false">IF(AND(H15,E15&lt;0,LEFT(D15,9)&lt;&gt;"Antitrust"),F15,0)</f>
        <v>0</v>
      </c>
      <c r="J15" s="5" t="s">
        <v>520</v>
      </c>
    </row>
    <row r="16" customFormat="false" ht="15" hidden="false" customHeight="false" outlineLevel="0" collapsed="false">
      <c r="A16" s="66" t="n">
        <v>46272</v>
      </c>
      <c r="B16" s="5" t="s">
        <v>505</v>
      </c>
      <c r="C16" s="67" t="s">
        <v>523</v>
      </c>
      <c r="D16" s="5" t="s">
        <v>524</v>
      </c>
      <c r="E16" s="68" t="n">
        <v>1</v>
      </c>
      <c r="F16" s="68" t="n">
        <v>0</v>
      </c>
      <c r="G16" s="68" t="n">
        <v>1</v>
      </c>
      <c r="H16" s="69" t="b">
        <f aca="false">AND(A16&gt;=$D$4,A16&lt;=$B$4)</f>
        <v>1</v>
      </c>
      <c r="I16" s="50" t="n">
        <f aca="false">IF(AND(H16,E16&lt;0,LEFT(D16,9)&lt;&gt;"Antitrust"),F16,0)</f>
        <v>0</v>
      </c>
      <c r="J16" s="5" t="s">
        <v>520</v>
      </c>
    </row>
    <row r="17" customFormat="false" ht="15" hidden="false" customHeight="false" outlineLevel="0" collapsed="false">
      <c r="A17" s="66" t="n">
        <v>46289</v>
      </c>
      <c r="B17" s="5" t="s">
        <v>505</v>
      </c>
      <c r="C17" s="67" t="s">
        <v>525</v>
      </c>
      <c r="D17" s="5" t="s">
        <v>526</v>
      </c>
      <c r="E17" s="68" t="n">
        <v>0</v>
      </c>
      <c r="F17" s="68" t="n">
        <v>0</v>
      </c>
      <c r="G17" s="68" t="n">
        <v>3</v>
      </c>
      <c r="H17" s="69" t="b">
        <f aca="false">AND(A17&gt;=$D$4,A17&lt;=$B$4)</f>
        <v>1</v>
      </c>
      <c r="I17" s="50" t="n">
        <f aca="false">IF(AND(H17,E17&lt;0,LEFT(D17,9)&lt;&gt;"Antitrust"),F17,0)</f>
        <v>0</v>
      </c>
      <c r="J17" s="5" t="s">
        <v>520</v>
      </c>
    </row>
    <row r="18" customFormat="false" ht="15" hidden="false" customHeight="false" outlineLevel="0" collapsed="false">
      <c r="A18" s="66" t="n">
        <v>46246</v>
      </c>
      <c r="B18" s="5" t="s">
        <v>505</v>
      </c>
      <c r="C18" s="67" t="s">
        <v>527</v>
      </c>
      <c r="D18" s="5" t="s">
        <v>528</v>
      </c>
      <c r="E18" s="68" t="n">
        <v>-1</v>
      </c>
      <c r="F18" s="68" t="n">
        <v>1</v>
      </c>
      <c r="G18" s="68" t="n">
        <v>3</v>
      </c>
      <c r="H18" s="69" t="b">
        <f aca="false">AND(A18&gt;=$D$4,A18&lt;=$B$4)</f>
        <v>1</v>
      </c>
      <c r="I18" s="50" t="n">
        <f aca="false">IF(AND(H18,E18&lt;0,LEFT(D18,9)&lt;&gt;"Antitrust"),F18,0)</f>
        <v>1</v>
      </c>
      <c r="J18" s="5" t="s">
        <v>520</v>
      </c>
    </row>
    <row r="19" customFormat="false" ht="23.85" hidden="false" customHeight="false" outlineLevel="0" collapsed="false">
      <c r="A19" s="66" t="n">
        <v>46170</v>
      </c>
      <c r="B19" s="5" t="s">
        <v>505</v>
      </c>
      <c r="C19" s="67" t="s">
        <v>529</v>
      </c>
      <c r="D19" s="5" t="s">
        <v>530</v>
      </c>
      <c r="E19" s="68" t="n">
        <v>-1</v>
      </c>
      <c r="F19" s="68" t="n">
        <v>5</v>
      </c>
      <c r="G19" s="68" t="n">
        <v>10</v>
      </c>
      <c r="H19" s="69" t="b">
        <f aca="false">AND(A19&gt;=$D$4,A19&lt;=$B$4)</f>
        <v>1</v>
      </c>
      <c r="I19" s="50" t="n">
        <f aca="false">IF(AND(H19,E19&lt;0,LEFT(D19,9)&lt;&gt;"Antitrust"),F19,0)</f>
        <v>5</v>
      </c>
      <c r="J19" s="5" t="s">
        <v>531</v>
      </c>
    </row>
    <row r="20" customFormat="false" ht="15" hidden="false" customHeight="false" outlineLevel="0" collapsed="false">
      <c r="A20" s="66" t="n">
        <v>46150</v>
      </c>
      <c r="B20" s="5" t="s">
        <v>505</v>
      </c>
      <c r="C20" s="67" t="s">
        <v>532</v>
      </c>
      <c r="D20" s="5" t="s">
        <v>533</v>
      </c>
      <c r="E20" s="68" t="n">
        <v>-1</v>
      </c>
      <c r="F20" s="68" t="n">
        <v>4</v>
      </c>
      <c r="G20" s="68" t="n">
        <v>1</v>
      </c>
      <c r="H20" s="69" t="b">
        <f aca="false">AND(A20&gt;=$D$4,A20&lt;=$B$4)</f>
        <v>1</v>
      </c>
      <c r="I20" s="50" t="n">
        <f aca="false">IF(AND(H20,E20&lt;0,LEFT(D20,9)&lt;&gt;"Antitrust"),F20,0)</f>
        <v>4</v>
      </c>
      <c r="J20" s="5" t="s">
        <v>531</v>
      </c>
    </row>
    <row r="21" customFormat="false" ht="15" hidden="false" customHeight="false" outlineLevel="0" collapsed="false">
      <c r="A21" s="66" t="n">
        <v>46120</v>
      </c>
      <c r="B21" s="5" t="s">
        <v>505</v>
      </c>
      <c r="C21" s="67" t="s">
        <v>534</v>
      </c>
      <c r="D21" s="5" t="s">
        <v>535</v>
      </c>
      <c r="E21" s="68" t="n">
        <v>-1</v>
      </c>
      <c r="F21" s="68" t="n">
        <v>2</v>
      </c>
      <c r="G21" s="68" t="n">
        <v>1</v>
      </c>
      <c r="H21" s="69" t="b">
        <f aca="false">AND(A21&gt;=$D$4,A21&lt;=$B$4)</f>
        <v>1</v>
      </c>
      <c r="I21" s="50" t="n">
        <f aca="false">IF(AND(H21,E21&lt;0,LEFT(D21,9)&lt;&gt;"Antitrust"),F21,0)</f>
        <v>2</v>
      </c>
      <c r="J21" s="5" t="s">
        <v>531</v>
      </c>
    </row>
    <row r="22" customFormat="false" ht="15" hidden="false" customHeight="false" outlineLevel="0" collapsed="false">
      <c r="A22" s="66" t="n">
        <v>46084</v>
      </c>
      <c r="B22" s="5" t="s">
        <v>505</v>
      </c>
      <c r="C22" s="67" t="s">
        <v>536</v>
      </c>
      <c r="D22" s="5" t="s">
        <v>537</v>
      </c>
      <c r="E22" s="68" t="n">
        <v>-1</v>
      </c>
      <c r="F22" s="68" t="n">
        <v>4</v>
      </c>
      <c r="G22" s="68" t="n">
        <v>2</v>
      </c>
      <c r="H22" s="69" t="b">
        <f aca="false">AND(A22&gt;=$D$4,A22&lt;=$B$4)</f>
        <v>1</v>
      </c>
      <c r="I22" s="50" t="n">
        <f aca="false">IF(AND(H22,E22&lt;0,LEFT(D22,9)&lt;&gt;"Antitrust"),F22,0)</f>
        <v>4</v>
      </c>
      <c r="J22" s="5" t="s">
        <v>531</v>
      </c>
    </row>
    <row r="23" customFormat="false" ht="15" hidden="false" customHeight="false" outlineLevel="0" collapsed="false">
      <c r="A23" s="66" t="n">
        <v>46026</v>
      </c>
      <c r="B23" s="5" t="s">
        <v>505</v>
      </c>
      <c r="C23" s="67" t="s">
        <v>538</v>
      </c>
      <c r="D23" s="5" t="s">
        <v>539</v>
      </c>
      <c r="E23" s="68" t="n">
        <v>-1</v>
      </c>
      <c r="F23" s="68" t="n">
        <v>3</v>
      </c>
      <c r="G23" s="68" t="n">
        <v>1</v>
      </c>
      <c r="H23" s="69" t="b">
        <f aca="false">AND(A23&gt;=$D$4,A23&lt;=$B$4)</f>
        <v>1</v>
      </c>
      <c r="I23" s="50" t="n">
        <f aca="false">IF(AND(H23,E23&lt;0,LEFT(D23,9)&lt;&gt;"Antitrust"),F23,0)</f>
        <v>3</v>
      </c>
      <c r="J23" s="5" t="s">
        <v>531</v>
      </c>
    </row>
    <row r="24" customFormat="false" ht="15" hidden="false" customHeight="false" outlineLevel="0" collapsed="false">
      <c r="A24" s="66" t="n">
        <v>45853</v>
      </c>
      <c r="B24" s="5" t="s">
        <v>503</v>
      </c>
      <c r="C24" s="67" t="s">
        <v>540</v>
      </c>
      <c r="D24" s="5" t="s">
        <v>541</v>
      </c>
      <c r="E24" s="68" t="n">
        <v>1</v>
      </c>
      <c r="F24" s="68" t="n">
        <v>0</v>
      </c>
      <c r="G24" s="68" t="n">
        <v>2</v>
      </c>
      <c r="H24" s="69" t="b">
        <f aca="false">AND(A24&gt;=$D$4,A24&lt;=$B$4)</f>
        <v>0</v>
      </c>
      <c r="I24" s="50" t="n">
        <f aca="false">IF(AND(H24,E24&lt;0,LEFT(D24,9)&lt;&gt;"Antitrust"),F24,0)</f>
        <v>0</v>
      </c>
      <c r="J24" s="5" t="s">
        <v>542</v>
      </c>
    </row>
    <row r="25" customFormat="false" ht="15" hidden="false" customHeight="false" outlineLevel="0" collapsed="false">
      <c r="A25" s="66" t="n">
        <v>46189</v>
      </c>
      <c r="B25" s="5" t="s">
        <v>503</v>
      </c>
      <c r="C25" s="67" t="s">
        <v>543</v>
      </c>
      <c r="D25" s="5" t="s">
        <v>526</v>
      </c>
      <c r="E25" s="68" t="n">
        <v>0</v>
      </c>
      <c r="F25" s="68" t="n">
        <v>0</v>
      </c>
      <c r="G25" s="68" t="n">
        <v>1</v>
      </c>
      <c r="H25" s="69" t="b">
        <f aca="false">AND(A25&gt;=$D$4,A25&lt;=$B$4)</f>
        <v>1</v>
      </c>
      <c r="I25" s="50" t="n">
        <f aca="false">IF(AND(H25,E25&lt;0,LEFT(D25,9)&lt;&gt;"Antitrust"),F25,0)</f>
        <v>0</v>
      </c>
      <c r="J25" s="5" t="s">
        <v>542</v>
      </c>
    </row>
    <row r="26" customFormat="false" ht="15" hidden="false" customHeight="false" outlineLevel="0" collapsed="false">
      <c r="A26" s="66" t="n">
        <v>46121</v>
      </c>
      <c r="B26" s="5" t="s">
        <v>503</v>
      </c>
      <c r="C26" s="67" t="s">
        <v>544</v>
      </c>
      <c r="D26" s="5" t="s">
        <v>526</v>
      </c>
      <c r="E26" s="68" t="n">
        <v>-1</v>
      </c>
      <c r="F26" s="68" t="n">
        <v>1</v>
      </c>
      <c r="G26" s="68" t="n">
        <v>4</v>
      </c>
      <c r="H26" s="69" t="b">
        <f aca="false">AND(A26&gt;=$D$4,A26&lt;=$B$4)</f>
        <v>1</v>
      </c>
      <c r="I26" s="50" t="n">
        <f aca="false">IF(AND(H26,E26&lt;0,LEFT(D26,9)&lt;&gt;"Antitrust"),F26,0)</f>
        <v>1</v>
      </c>
      <c r="J26" s="5" t="s">
        <v>542</v>
      </c>
    </row>
    <row r="27" customFormat="false" ht="15" hidden="false" customHeight="false" outlineLevel="0" collapsed="false">
      <c r="A27" s="66" t="n">
        <v>46281</v>
      </c>
      <c r="B27" s="5" t="s">
        <v>501</v>
      </c>
      <c r="C27" s="67" t="s">
        <v>545</v>
      </c>
      <c r="D27" s="5" t="s">
        <v>546</v>
      </c>
      <c r="E27" s="68" t="n">
        <v>-1</v>
      </c>
      <c r="F27" s="68" t="n">
        <v>2</v>
      </c>
      <c r="G27" s="68" t="n">
        <v>3</v>
      </c>
      <c r="H27" s="69" t="b">
        <f aca="false">AND(A27&gt;=$D$4,A27&lt;=$B$4)</f>
        <v>1</v>
      </c>
      <c r="I27" s="50" t="n">
        <f aca="false">IF(AND(H27,E27&lt;0,LEFT(D27,9)&lt;&gt;"Antitrust"),F27,0)</f>
        <v>0</v>
      </c>
      <c r="J27" s="5" t="s">
        <v>547</v>
      </c>
    </row>
    <row r="28" customFormat="false" ht="15" hidden="false" customHeight="false" outlineLevel="0" collapsed="false">
      <c r="A28" s="66" t="n">
        <v>46268</v>
      </c>
      <c r="B28" s="5" t="s">
        <v>501</v>
      </c>
      <c r="C28" s="67" t="s">
        <v>548</v>
      </c>
      <c r="D28" s="5" t="s">
        <v>549</v>
      </c>
      <c r="E28" s="68" t="n">
        <v>-1</v>
      </c>
      <c r="F28" s="68" t="n">
        <v>3</v>
      </c>
      <c r="G28" s="68" t="n">
        <v>1</v>
      </c>
      <c r="H28" s="69" t="b">
        <f aca="false">AND(A28&gt;=$D$4,A28&lt;=$B$4)</f>
        <v>1</v>
      </c>
      <c r="I28" s="50" t="n">
        <f aca="false">IF(AND(H28,E28&lt;0,LEFT(D28,9)&lt;&gt;"Antitrust"),F28,0)</f>
        <v>3</v>
      </c>
      <c r="J28" s="5" t="s">
        <v>547</v>
      </c>
    </row>
    <row r="29" customFormat="false" ht="15" hidden="false" customHeight="false" outlineLevel="0" collapsed="false">
      <c r="A29" s="66" t="n">
        <v>46280</v>
      </c>
      <c r="B29" s="5" t="s">
        <v>501</v>
      </c>
      <c r="C29" s="67" t="s">
        <v>550</v>
      </c>
      <c r="D29" s="5" t="s">
        <v>551</v>
      </c>
      <c r="E29" s="68" t="n">
        <v>-1</v>
      </c>
      <c r="F29" s="68" t="n">
        <v>2</v>
      </c>
      <c r="G29" s="68" t="n">
        <v>3</v>
      </c>
      <c r="H29" s="69" t="b">
        <f aca="false">AND(A29&gt;=$D$4,A29&lt;=$B$4)</f>
        <v>1</v>
      </c>
      <c r="I29" s="50" t="n">
        <f aca="false">IF(AND(H29,E29&lt;0,LEFT(D29,9)&lt;&gt;"Antitrust"),F29,0)</f>
        <v>2</v>
      </c>
      <c r="J29" s="5" t="s">
        <v>547</v>
      </c>
    </row>
    <row r="30" customFormat="false" ht="15" hidden="false" customHeight="false" outlineLevel="0" collapsed="false">
      <c r="A30" s="66" t="n">
        <v>46225</v>
      </c>
      <c r="B30" s="5" t="s">
        <v>501</v>
      </c>
      <c r="C30" s="67" t="s">
        <v>552</v>
      </c>
      <c r="D30" s="5" t="s">
        <v>553</v>
      </c>
      <c r="E30" s="68" t="n">
        <v>-1</v>
      </c>
      <c r="F30" s="68" t="n">
        <v>2</v>
      </c>
      <c r="G30" s="68" t="n">
        <v>1</v>
      </c>
      <c r="H30" s="69" t="b">
        <f aca="false">AND(A30&gt;=$D$4,A30&lt;=$B$4)</f>
        <v>1</v>
      </c>
      <c r="I30" s="50" t="n">
        <f aca="false">IF(AND(H30,E30&lt;0,LEFT(D30,9)&lt;&gt;"Antitrust"),F30,0)</f>
        <v>2</v>
      </c>
      <c r="J30" s="5" t="s">
        <v>547</v>
      </c>
    </row>
    <row r="31" customFormat="false" ht="15" hidden="false" customHeight="false" outlineLevel="0" collapsed="false">
      <c r="A31" s="66" t="n">
        <v>46210</v>
      </c>
      <c r="B31" s="5" t="s">
        <v>501</v>
      </c>
      <c r="C31" s="67" t="s">
        <v>554</v>
      </c>
      <c r="D31" s="5" t="s">
        <v>555</v>
      </c>
      <c r="E31" s="68" t="n">
        <v>-1</v>
      </c>
      <c r="F31" s="68" t="n">
        <v>2</v>
      </c>
      <c r="G31" s="68" t="n">
        <v>2</v>
      </c>
      <c r="H31" s="69" t="b">
        <f aca="false">AND(A31&gt;=$D$4,A31&lt;=$B$4)</f>
        <v>1</v>
      </c>
      <c r="I31" s="50" t="n">
        <f aca="false">IF(AND(H31,E31&lt;0,LEFT(D31,9)&lt;&gt;"Antitrust"),F31,0)</f>
        <v>2</v>
      </c>
      <c r="J31" s="5" t="s">
        <v>547</v>
      </c>
    </row>
    <row r="32" customFormat="false" ht="15" hidden="false" customHeight="false" outlineLevel="0" collapsed="false">
      <c r="A32" s="66" t="n">
        <v>46194</v>
      </c>
      <c r="B32" s="5" t="s">
        <v>501</v>
      </c>
      <c r="C32" s="67" t="s">
        <v>556</v>
      </c>
      <c r="D32" s="5" t="s">
        <v>557</v>
      </c>
      <c r="E32" s="68" t="n">
        <v>-1</v>
      </c>
      <c r="F32" s="68" t="n">
        <v>3</v>
      </c>
      <c r="G32" s="68" t="n">
        <v>1</v>
      </c>
      <c r="H32" s="69" t="b">
        <f aca="false">AND(A32&gt;=$D$4,A32&lt;=$B$4)</f>
        <v>1</v>
      </c>
      <c r="I32" s="50" t="n">
        <f aca="false">IF(AND(H32,E32&lt;0,LEFT(D32,9)&lt;&gt;"Antitrust"),F32,0)</f>
        <v>3</v>
      </c>
      <c r="J32" s="5" t="s">
        <v>547</v>
      </c>
    </row>
    <row r="33" customFormat="false" ht="15" hidden="false" customHeight="false" outlineLevel="0" collapsed="false">
      <c r="A33" s="66" t="n">
        <v>46157</v>
      </c>
      <c r="B33" s="5" t="s">
        <v>501</v>
      </c>
      <c r="C33" s="67" t="s">
        <v>558</v>
      </c>
      <c r="D33" s="5" t="s">
        <v>546</v>
      </c>
      <c r="E33" s="68" t="n">
        <v>-1</v>
      </c>
      <c r="F33" s="68" t="n">
        <v>2</v>
      </c>
      <c r="G33" s="68" t="n">
        <v>1</v>
      </c>
      <c r="H33" s="69" t="b">
        <f aca="false">AND(A33&gt;=$D$4,A33&lt;=$B$4)</f>
        <v>1</v>
      </c>
      <c r="I33" s="50" t="n">
        <f aca="false">IF(AND(H33,E33&lt;0,LEFT(D33,9)&lt;&gt;"Antitrust"),F33,0)</f>
        <v>0</v>
      </c>
      <c r="J33" s="5" t="s">
        <v>547</v>
      </c>
    </row>
    <row r="34" customFormat="false" ht="15" hidden="false" customHeight="false" outlineLevel="0" collapsed="false">
      <c r="A34" s="66" t="n">
        <v>45580</v>
      </c>
      <c r="B34" s="5" t="s">
        <v>501</v>
      </c>
      <c r="C34" s="67" t="s">
        <v>559</v>
      </c>
      <c r="D34" s="5" t="s">
        <v>539</v>
      </c>
      <c r="E34" s="68" t="n">
        <v>-1</v>
      </c>
      <c r="F34" s="68" t="n">
        <v>3</v>
      </c>
      <c r="G34" s="68" t="n">
        <v>1</v>
      </c>
      <c r="H34" s="69" t="b">
        <f aca="false">AND(A34&gt;=$D$4,A34&lt;=$B$4)</f>
        <v>0</v>
      </c>
      <c r="I34" s="50" t="n">
        <f aca="false">IF(AND(H34,E34&lt;0,LEFT(D34,9)&lt;&gt;"Antitrust"),F34,0)</f>
        <v>0</v>
      </c>
      <c r="J34" s="5" t="s">
        <v>560</v>
      </c>
    </row>
    <row r="35" customFormat="false" ht="23.85" hidden="false" customHeight="false" outlineLevel="0" collapsed="false">
      <c r="A35" s="66" t="n">
        <v>44972</v>
      </c>
      <c r="B35" s="5" t="s">
        <v>501</v>
      </c>
      <c r="C35" s="67" t="s">
        <v>561</v>
      </c>
      <c r="D35" s="5" t="s">
        <v>539</v>
      </c>
      <c r="E35" s="68" t="n">
        <v>0</v>
      </c>
      <c r="F35" s="68" t="n">
        <v>0</v>
      </c>
      <c r="G35" s="68" t="n">
        <v>1</v>
      </c>
      <c r="H35" s="69" t="b">
        <f aca="false">AND(A35&gt;=$D$4,A35&lt;=$B$4)</f>
        <v>0</v>
      </c>
      <c r="I35" s="50" t="n">
        <f aca="false">IF(AND(H35,E35&lt;0,LEFT(D35,9)&lt;&gt;"Antitrust"),F35,0)</f>
        <v>0</v>
      </c>
      <c r="J35" s="5" t="s">
        <v>560</v>
      </c>
    </row>
  </sheetData>
  <mergeCells count="1"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562</v>
      </c>
    </row>
    <row r="2" customFormat="false" ht="15" hidden="false" customHeight="false" outlineLevel="0" collapsed="false">
      <c r="A2" s="2" t="s">
        <v>563</v>
      </c>
    </row>
    <row r="4" customFormat="false" ht="15" hidden="false" customHeight="false" outlineLevel="0" collapsed="false">
      <c r="A4" s="3" t="s">
        <v>564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3.85" hidden="false" customHeight="false" outlineLevel="0" collapsed="false">
      <c r="A5" s="11" t="s">
        <v>339</v>
      </c>
      <c r="B5" s="11" t="s">
        <v>565</v>
      </c>
      <c r="C5" s="11" t="s">
        <v>566</v>
      </c>
      <c r="D5" s="11" t="s">
        <v>567</v>
      </c>
      <c r="E5" s="11" t="s">
        <v>568</v>
      </c>
      <c r="F5" s="11" t="s">
        <v>569</v>
      </c>
      <c r="G5" s="11" t="s">
        <v>570</v>
      </c>
      <c r="H5" s="11" t="s">
        <v>571</v>
      </c>
      <c r="I5" s="11" t="s">
        <v>572</v>
      </c>
      <c r="J5" s="11" t="s">
        <v>573</v>
      </c>
      <c r="K5" s="11" t="s">
        <v>574</v>
      </c>
      <c r="L5" s="11" t="s">
        <v>575</v>
      </c>
    </row>
    <row r="6" customFormat="false" ht="15" hidden="false" customHeight="false" outlineLevel="0" collapsed="false">
      <c r="A6" s="6" t="s">
        <v>576</v>
      </c>
      <c r="B6" s="25" t="n">
        <v>2.71</v>
      </c>
      <c r="C6" s="25" t="n">
        <v>2.76</v>
      </c>
      <c r="D6" s="25" t="n">
        <v>3.06</v>
      </c>
      <c r="E6" s="25" t="n">
        <v>3.74</v>
      </c>
      <c r="F6" s="25" t="n">
        <v>4.9</v>
      </c>
      <c r="G6" s="25" t="n">
        <v>5.12</v>
      </c>
      <c r="H6" s="25" t="n">
        <v>6.29</v>
      </c>
      <c r="I6" s="25" t="n">
        <v>5.97</v>
      </c>
      <c r="J6" s="25" t="n">
        <v>6.15</v>
      </c>
      <c r="K6" s="25"/>
      <c r="L6" s="56" t="n">
        <f aca="false">IFERROR(LOOKUP(2,1/ISNUMBER(B6:K6),B6:K6)/INDEX(B6:K6,MATCH(TRUE(),INDEX(ISNUMBER(B6:K6),0),0))-1,"")</f>
        <v>1.26937269372694</v>
      </c>
    </row>
    <row r="7" customFormat="false" ht="15" hidden="false" customHeight="false" outlineLevel="0" collapsed="false">
      <c r="A7" s="6" t="s">
        <v>577</v>
      </c>
      <c r="B7" s="25" t="n">
        <v>1.87</v>
      </c>
      <c r="C7" s="25" t="n">
        <v>2.08</v>
      </c>
      <c r="D7" s="25" t="n">
        <v>2.6</v>
      </c>
      <c r="E7" s="25" t="n">
        <v>4.14</v>
      </c>
      <c r="F7" s="25" t="n">
        <v>6.2</v>
      </c>
      <c r="G7" s="25" t="n">
        <v>6.61</v>
      </c>
      <c r="H7" s="25" t="n">
        <v>7.17</v>
      </c>
      <c r="I7" s="25" t="n">
        <v>6.71</v>
      </c>
      <c r="J7" s="25" t="n">
        <v>6.59</v>
      </c>
      <c r="K7" s="25"/>
      <c r="L7" s="56" t="n">
        <f aca="false">IFERROR(LOOKUP(2,1/ISNUMBER(B7:K7),B7:K7)/INDEX(B7:K7,MATCH(TRUE(),INDEX(ISNUMBER(B7:K7),0),0))-1,"")</f>
        <v>2.52406417112299</v>
      </c>
    </row>
    <row r="8" customFormat="false" ht="15" hidden="false" customHeight="false" outlineLevel="0" collapsed="false">
      <c r="A8" s="6" t="s">
        <v>578</v>
      </c>
      <c r="B8" s="25" t="n">
        <v>2.45</v>
      </c>
      <c r="C8" s="25" t="n">
        <v>2.32</v>
      </c>
      <c r="D8" s="25" t="n">
        <v>2.31</v>
      </c>
      <c r="E8" s="25" t="n">
        <v>2.28</v>
      </c>
      <c r="F8" s="25" t="n">
        <v>3.26</v>
      </c>
      <c r="G8" s="25" t="n">
        <v>3.29</v>
      </c>
      <c r="H8" s="25" t="n">
        <v>6.31</v>
      </c>
      <c r="I8" s="25" t="n">
        <v>5.59</v>
      </c>
      <c r="J8" s="25" t="n">
        <v>6.46</v>
      </c>
      <c r="K8" s="25"/>
      <c r="L8" s="56" t="n">
        <f aca="false">IFERROR(LOOKUP(2,1/ISNUMBER(B8:K8),B8:K8)/INDEX(B8:K8,MATCH(TRUE(),INDEX(ISNUMBER(B8:K8),0),0))-1,"")</f>
        <v>1.63673469387755</v>
      </c>
    </row>
    <row r="9" customFormat="false" ht="15" hidden="false" customHeight="false" outlineLevel="0" collapsed="false">
      <c r="A9" s="6" t="s">
        <v>579</v>
      </c>
      <c r="B9" s="25" t="n">
        <v>4.68</v>
      </c>
      <c r="C9" s="25" t="n">
        <v>4.58</v>
      </c>
      <c r="D9" s="25" t="n">
        <v>4.81</v>
      </c>
      <c r="E9" s="25" t="n">
        <v>4.72</v>
      </c>
      <c r="F9" s="25" t="n">
        <v>4.6</v>
      </c>
      <c r="G9" s="25" t="n">
        <v>4.78</v>
      </c>
      <c r="H9" s="25" t="n">
        <v>4.9</v>
      </c>
      <c r="I9" s="25" t="n">
        <v>5.16</v>
      </c>
      <c r="J9" s="25" t="n">
        <v>5.16</v>
      </c>
      <c r="K9" s="25"/>
      <c r="L9" s="56" t="n">
        <f aca="false">IFERROR(LOOKUP(2,1/ISNUMBER(B9:K9),B9:K9)/INDEX(B9:K9,MATCH(TRUE(),INDEX(ISNUMBER(B9:K9),0),0))-1,"")</f>
        <v>0.102564102564103</v>
      </c>
    </row>
    <row r="10" customFormat="false" ht="15" hidden="false" customHeight="false" outlineLevel="0" collapsed="false">
      <c r="A10" s="6" t="s">
        <v>580</v>
      </c>
      <c r="B10" s="55" t="n">
        <v>3550.5</v>
      </c>
      <c r="C10" s="55" t="n">
        <v>3937.4</v>
      </c>
      <c r="D10" s="55" t="n">
        <v>4888</v>
      </c>
      <c r="E10" s="55" t="n">
        <v>4955.5</v>
      </c>
      <c r="F10" s="55" t="n">
        <v>6711.1</v>
      </c>
      <c r="G10" s="55" t="n">
        <v>8300</v>
      </c>
      <c r="H10" s="55" t="n">
        <v>9000</v>
      </c>
      <c r="I10" s="55" t="n">
        <v>8700</v>
      </c>
      <c r="J10" s="55" t="n">
        <v>8300</v>
      </c>
      <c r="K10" s="55" t="n">
        <v>9100</v>
      </c>
      <c r="L10" s="56" t="n">
        <f aca="false">IFERROR(LOOKUP(2,1/ISNUMBER(B10:K10),B10:K10)/INDEX(B10:K10,MATCH(TRUE(),INDEX(ISNUMBER(B10:K10),0),0))-1,"")</f>
        <v>1.56301929305732</v>
      </c>
    </row>
    <row r="11" customFormat="false" ht="15" hidden="false" customHeight="false" outlineLevel="0" collapsed="false">
      <c r="A11" s="6" t="s">
        <v>581</v>
      </c>
      <c r="B11" s="55" t="n">
        <v>573.6</v>
      </c>
      <c r="C11" s="55" t="n">
        <v>593.9</v>
      </c>
      <c r="D11" s="55" t="n">
        <v>623.5</v>
      </c>
      <c r="E11" s="55" t="n">
        <v>681.2</v>
      </c>
      <c r="F11" s="55" t="n">
        <v>4523.1</v>
      </c>
      <c r="G11" s="55" t="n">
        <v>4273.4</v>
      </c>
      <c r="H11" s="55" t="n">
        <v>3800</v>
      </c>
      <c r="I11" s="55" t="n">
        <v>5300</v>
      </c>
      <c r="J11" s="55" t="n">
        <v>4000</v>
      </c>
      <c r="K11" s="55"/>
      <c r="L11" s="56" t="n">
        <f aca="false">IFERROR(LOOKUP(2,1/ISNUMBER(B11:K11),B11:K11)/INDEX(B11:K11,MATCH(TRUE(),INDEX(ISNUMBER(B11:K11),0),0))-1,"")</f>
        <v>5.97350069735007</v>
      </c>
    </row>
    <row r="12" customFormat="false" ht="15" hidden="false" customHeight="false" outlineLevel="0" collapsed="false">
      <c r="A12" s="6" t="s">
        <v>582</v>
      </c>
      <c r="B12" s="55"/>
      <c r="C12" s="55"/>
      <c r="D12" s="55"/>
      <c r="E12" s="55"/>
      <c r="F12" s="55"/>
      <c r="G12" s="55"/>
      <c r="H12" s="55" t="n">
        <v>160556</v>
      </c>
      <c r="I12" s="55" t="n">
        <v>151000</v>
      </c>
      <c r="J12" s="55" t="n">
        <v>147000</v>
      </c>
      <c r="K12" s="55"/>
      <c r="L12" s="56" t="n">
        <f aca="false">IFERROR(LOOKUP(2,1/ISNUMBER(B12:K12),B12:K12)/INDEX(B12:K12,MATCH(TRUE(),INDEX(ISNUMBER(B12:K12),0),0))-1,"")</f>
        <v>-0.084431600189342</v>
      </c>
    </row>
    <row r="14" customFormat="false" ht="15" hidden="false" customHeight="false" outlineLevel="0" collapsed="false">
      <c r="A14" s="3" t="s">
        <v>583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23.85" hidden="false" customHeight="false" outlineLevel="0" collapsed="false">
      <c r="A15" s="11" t="s">
        <v>339</v>
      </c>
      <c r="B15" s="11" t="s">
        <v>565</v>
      </c>
      <c r="C15" s="11" t="s">
        <v>566</v>
      </c>
      <c r="D15" s="11" t="s">
        <v>567</v>
      </c>
      <c r="E15" s="11" t="s">
        <v>568</v>
      </c>
      <c r="F15" s="11" t="s">
        <v>569</v>
      </c>
      <c r="G15" s="11" t="s">
        <v>570</v>
      </c>
      <c r="H15" s="11" t="s">
        <v>571</v>
      </c>
      <c r="I15" s="11" t="s">
        <v>572</v>
      </c>
      <c r="J15" s="11" t="s">
        <v>573</v>
      </c>
      <c r="K15" s="11" t="s">
        <v>574</v>
      </c>
      <c r="L15" s="11" t="s">
        <v>575</v>
      </c>
    </row>
    <row r="16" customFormat="false" ht="15" hidden="false" customHeight="false" outlineLevel="0" collapsed="false">
      <c r="A16" s="6" t="s">
        <v>576</v>
      </c>
      <c r="B16" s="25" t="n">
        <v>4.54</v>
      </c>
      <c r="C16" s="25" t="n">
        <v>4.92</v>
      </c>
      <c r="D16" s="25" t="n">
        <v>5.03</v>
      </c>
      <c r="E16" s="25" t="n">
        <v>5.94</v>
      </c>
      <c r="F16" s="25" t="n">
        <v>6.17</v>
      </c>
      <c r="G16" s="25" t="n">
        <v>5.01</v>
      </c>
      <c r="H16" s="25" t="n">
        <v>5.14</v>
      </c>
      <c r="I16" s="25" t="n">
        <v>5.23</v>
      </c>
      <c r="J16" s="25" t="n">
        <v>5.28</v>
      </c>
      <c r="K16" s="25"/>
      <c r="L16" s="56" t="n">
        <f aca="false">IFERROR(LOOKUP(2,1/ISNUMBER(B16:K16),B16:K16)/INDEX(B16:K16,MATCH(TRUE(),INDEX(ISNUMBER(B16:K16),0),0))-1,"")</f>
        <v>0.162995594713657</v>
      </c>
    </row>
    <row r="17" customFormat="false" ht="15" hidden="false" customHeight="false" outlineLevel="0" collapsed="false">
      <c r="A17" s="6" t="s">
        <v>577</v>
      </c>
      <c r="B17" s="25" t="n">
        <v>5.41</v>
      </c>
      <c r="C17" s="25" t="n">
        <v>4.72</v>
      </c>
      <c r="D17" s="25" t="n">
        <v>4.79</v>
      </c>
      <c r="E17" s="25" t="n">
        <v>5.83</v>
      </c>
      <c r="F17" s="25" t="n">
        <v>5.82</v>
      </c>
      <c r="G17" s="25" t="n">
        <v>4.62</v>
      </c>
      <c r="H17" s="25" t="n">
        <v>4.72</v>
      </c>
      <c r="I17" s="25" t="n">
        <v>5.06</v>
      </c>
      <c r="J17" s="25" t="n">
        <v>5.18</v>
      </c>
      <c r="K17" s="25"/>
      <c r="L17" s="56" t="n">
        <f aca="false">IFERROR(LOOKUP(2,1/ISNUMBER(B17:K17),B17:K17)/INDEX(B17:K17,MATCH(TRUE(),INDEX(ISNUMBER(B17:K17),0),0))-1,"")</f>
        <v>-0.0425138632162663</v>
      </c>
    </row>
    <row r="18" customFormat="false" ht="15" hidden="false" customHeight="false" outlineLevel="0" collapsed="false">
      <c r="A18" s="6" t="s">
        <v>578</v>
      </c>
      <c r="B18" s="25" t="n">
        <v>2.44</v>
      </c>
      <c r="C18" s="25" t="n">
        <v>3.82</v>
      </c>
      <c r="D18" s="25" t="n">
        <v>3.95</v>
      </c>
      <c r="E18" s="25" t="n">
        <v>5.27</v>
      </c>
      <c r="F18" s="25" t="n">
        <v>6.3</v>
      </c>
      <c r="G18" s="25" t="n">
        <v>3.72</v>
      </c>
      <c r="H18" s="25" t="n">
        <v>3.95</v>
      </c>
      <c r="I18" s="25" t="n">
        <v>3.89</v>
      </c>
      <c r="J18" s="25" t="n">
        <v>4.11</v>
      </c>
      <c r="K18" s="25"/>
      <c r="L18" s="56" t="n">
        <f aca="false">IFERROR(LOOKUP(2,1/ISNUMBER(B18:K18),B18:K18)/INDEX(B18:K18,MATCH(TRUE(),INDEX(ISNUMBER(B18:K18),0),0))-1,"")</f>
        <v>0.684426229508197</v>
      </c>
    </row>
    <row r="19" customFormat="false" ht="15" hidden="false" customHeight="false" outlineLevel="0" collapsed="false">
      <c r="A19" s="6" t="s">
        <v>579</v>
      </c>
      <c r="B19" s="25" t="n">
        <v>5.84</v>
      </c>
      <c r="C19" s="25" t="n">
        <v>6.42</v>
      </c>
      <c r="D19" s="25" t="n">
        <v>6.56</v>
      </c>
      <c r="E19" s="25" t="n">
        <v>6.79</v>
      </c>
      <c r="F19" s="25" t="n">
        <v>6.51</v>
      </c>
      <c r="G19" s="25" t="n">
        <v>7.07</v>
      </c>
      <c r="H19" s="25" t="n">
        <v>7.09</v>
      </c>
      <c r="I19" s="25" t="n">
        <v>6.97</v>
      </c>
      <c r="J19" s="25" t="n">
        <v>6.71</v>
      </c>
      <c r="K19" s="25"/>
      <c r="L19" s="56" t="n">
        <f aca="false">IFERROR(LOOKUP(2,1/ISNUMBER(B19:K19),B19:K19)/INDEX(B19:K19,MATCH(TRUE(),INDEX(ISNUMBER(B19:K19),0),0))-1,"")</f>
        <v>0.148972602739726</v>
      </c>
    </row>
    <row r="20" customFormat="false" ht="15" hidden="false" customHeight="false" outlineLevel="0" collapsed="false">
      <c r="A20" s="6" t="s">
        <v>580</v>
      </c>
      <c r="B20" s="55" t="n">
        <v>3607.9</v>
      </c>
      <c r="C20" s="55" t="n">
        <v>3532.1</v>
      </c>
      <c r="D20" s="55" t="n">
        <v>3210</v>
      </c>
      <c r="E20" s="55" t="n">
        <v>3246.4</v>
      </c>
      <c r="F20" s="55" t="n">
        <v>3310</v>
      </c>
      <c r="G20" s="55" t="n">
        <v>3420</v>
      </c>
      <c r="H20" s="55" t="n">
        <v>3230</v>
      </c>
      <c r="I20" s="55" t="n">
        <v>3060</v>
      </c>
      <c r="J20" s="55" t="n">
        <v>3020</v>
      </c>
      <c r="K20" s="55" t="n">
        <v>2820</v>
      </c>
      <c r="L20" s="56" t="n">
        <f aca="false">IFERROR(LOOKUP(2,1/ISNUMBER(B20:K20),B20:K20)/INDEX(B20:K20,MATCH(TRUE(),INDEX(ISNUMBER(B20:K20),0),0))-1,"")</f>
        <v>-0.218381884198564</v>
      </c>
    </row>
    <row r="21" customFormat="false" ht="15" hidden="false" customHeight="false" outlineLevel="0" collapsed="false">
      <c r="A21" s="6" t="s">
        <v>581</v>
      </c>
      <c r="B21" s="55" t="n">
        <v>3736.6</v>
      </c>
      <c r="C21" s="55" t="n">
        <v>3639</v>
      </c>
      <c r="D21" s="55" t="n">
        <v>2380</v>
      </c>
      <c r="E21" s="55" t="n">
        <v>3089</v>
      </c>
      <c r="F21" s="55" t="n">
        <v>3052.2</v>
      </c>
      <c r="G21" s="55" t="n">
        <v>2600</v>
      </c>
      <c r="H21" s="55" t="n">
        <v>2612.7</v>
      </c>
      <c r="I21" s="55" t="n">
        <v>2583.4</v>
      </c>
      <c r="J21" s="55" t="n">
        <v>2420</v>
      </c>
      <c r="K21" s="55" t="n">
        <v>2480</v>
      </c>
      <c r="L21" s="56" t="n">
        <f aca="false">IFERROR(LOOKUP(2,1/ISNUMBER(B21:K21),B21:K21)/INDEX(B21:K21,MATCH(TRUE(),INDEX(ISNUMBER(B21:K21),0),0))-1,"")</f>
        <v>-0.336295027565166</v>
      </c>
    </row>
    <row r="22" customFormat="false" ht="15" hidden="false" customHeight="false" outlineLevel="0" collapsed="false">
      <c r="A22" s="6" t="s">
        <v>582</v>
      </c>
      <c r="B22" s="55" t="n">
        <v>105793</v>
      </c>
      <c r="C22" s="55" t="n">
        <v>106926</v>
      </c>
      <c r="D22" s="55" t="n">
        <v>81940</v>
      </c>
      <c r="E22" s="55" t="n">
        <v>107411</v>
      </c>
      <c r="F22" s="55" t="n">
        <v>99430</v>
      </c>
      <c r="G22" s="55" t="n">
        <v>88910</v>
      </c>
      <c r="H22" s="55" t="n">
        <v>79850</v>
      </c>
      <c r="I22" s="55" t="n">
        <v>69980</v>
      </c>
      <c r="J22" s="55" t="n">
        <v>68000</v>
      </c>
      <c r="K22" s="55" t="n">
        <v>72010</v>
      </c>
      <c r="L22" s="56" t="n">
        <f aca="false">IFERROR(LOOKUP(2,1/ISNUMBER(B22:K22),B22:K22)/INDEX(B22:K22,MATCH(TRUE(),INDEX(ISNUMBER(B22:K22),0),0))-1,"")</f>
        <v>-0.31933114667322</v>
      </c>
    </row>
    <row r="24" customFormat="false" ht="15" hidden="false" customHeight="false" outlineLevel="0" collapsed="false">
      <c r="A24" s="3" t="s">
        <v>584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23.85" hidden="false" customHeight="false" outlineLevel="0" collapsed="false">
      <c r="A25" s="11" t="s">
        <v>339</v>
      </c>
      <c r="B25" s="11" t="s">
        <v>565</v>
      </c>
      <c r="C25" s="11" t="s">
        <v>566</v>
      </c>
      <c r="D25" s="11" t="s">
        <v>567</v>
      </c>
      <c r="E25" s="11" t="s">
        <v>568</v>
      </c>
      <c r="F25" s="11" t="s">
        <v>569</v>
      </c>
      <c r="G25" s="11" t="s">
        <v>570</v>
      </c>
      <c r="H25" s="11" t="s">
        <v>571</v>
      </c>
      <c r="I25" s="11" t="s">
        <v>572</v>
      </c>
      <c r="J25" s="11" t="s">
        <v>573</v>
      </c>
      <c r="K25" s="11" t="s">
        <v>574</v>
      </c>
      <c r="L25" s="11" t="s">
        <v>575</v>
      </c>
    </row>
    <row r="26" customFormat="false" ht="15" hidden="false" customHeight="false" outlineLevel="0" collapsed="false">
      <c r="A26" s="6" t="s">
        <v>576</v>
      </c>
      <c r="B26" s="25" t="n">
        <v>3.92</v>
      </c>
      <c r="C26" s="25" t="n">
        <v>4.03</v>
      </c>
      <c r="D26" s="25" t="n">
        <v>4.24</v>
      </c>
      <c r="E26" s="25" t="n">
        <v>4.28</v>
      </c>
      <c r="F26" s="25" t="n">
        <v>4.56</v>
      </c>
      <c r="G26" s="25" t="n">
        <v>4.41</v>
      </c>
      <c r="H26" s="25" t="n">
        <v>4.68</v>
      </c>
      <c r="I26" s="25" t="n">
        <v>4.91</v>
      </c>
      <c r="J26" s="25" t="n">
        <v>4.82</v>
      </c>
      <c r="K26" s="25"/>
      <c r="L26" s="56" t="n">
        <f aca="false">IFERROR(LOOKUP(2,1/ISNUMBER(B26:K26),B26:K26)/INDEX(B26:K26,MATCH(TRUE(),INDEX(ISNUMBER(B26:K26),0),0))-1,"")</f>
        <v>0.229591836734694</v>
      </c>
    </row>
    <row r="27" customFormat="false" ht="15" hidden="false" customHeight="false" outlineLevel="0" collapsed="false">
      <c r="A27" s="6" t="s">
        <v>577</v>
      </c>
      <c r="B27" s="25" t="n">
        <v>3.15</v>
      </c>
      <c r="C27" s="25" t="n">
        <v>3.68</v>
      </c>
      <c r="D27" s="25" t="n">
        <v>4.14</v>
      </c>
      <c r="E27" s="25" t="n">
        <v>4.61</v>
      </c>
      <c r="F27" s="25" t="n">
        <v>5.13</v>
      </c>
      <c r="G27" s="25" t="n">
        <v>4.65</v>
      </c>
      <c r="H27" s="25" t="n">
        <v>4.95</v>
      </c>
      <c r="I27" s="25" t="n">
        <v>5.29</v>
      </c>
      <c r="J27" s="25" t="n">
        <v>5.51</v>
      </c>
      <c r="K27" s="25"/>
      <c r="L27" s="56" t="n">
        <f aca="false">IFERROR(LOOKUP(2,1/ISNUMBER(B27:K27),B27:K27)/INDEX(B27:K27,MATCH(TRUE(),INDEX(ISNUMBER(B27:K27),0),0))-1,"")</f>
        <v>0.749206349206349</v>
      </c>
    </row>
    <row r="28" customFormat="false" ht="15" hidden="false" customHeight="false" outlineLevel="0" collapsed="false">
      <c r="A28" s="6" t="s">
        <v>578</v>
      </c>
      <c r="B28" s="25" t="n">
        <v>1.31</v>
      </c>
      <c r="C28" s="25" t="n">
        <v>1.32</v>
      </c>
      <c r="D28" s="25" t="n">
        <v>1.32</v>
      </c>
      <c r="E28" s="25" t="n">
        <v>1.35</v>
      </c>
      <c r="F28" s="25" t="n">
        <v>1.46</v>
      </c>
      <c r="G28" s="25" t="n">
        <v>1.49</v>
      </c>
      <c r="H28" s="25" t="n">
        <v>2.08</v>
      </c>
      <c r="I28" s="25" t="n">
        <v>2.12</v>
      </c>
      <c r="J28" s="25" t="n">
        <v>2.08</v>
      </c>
      <c r="K28" s="25"/>
      <c r="L28" s="56" t="n">
        <f aca="false">IFERROR(LOOKUP(2,1/ISNUMBER(B28:K28),B28:K28)/INDEX(B28:K28,MATCH(TRUE(),INDEX(ISNUMBER(B28:K28),0),0))-1,"")</f>
        <v>0.587786259541985</v>
      </c>
    </row>
    <row r="29" customFormat="false" ht="15" hidden="false" customHeight="false" outlineLevel="0" collapsed="false">
      <c r="A29" s="6" t="s">
        <v>579</v>
      </c>
      <c r="B29" s="25" t="n">
        <v>8.57</v>
      </c>
      <c r="C29" s="25" t="n">
        <v>8.25</v>
      </c>
      <c r="D29" s="25" t="n">
        <v>8.48</v>
      </c>
      <c r="E29" s="25" t="n">
        <v>7.96</v>
      </c>
      <c r="F29" s="25" t="n">
        <v>8.17</v>
      </c>
      <c r="G29" s="25" t="n">
        <v>8.15</v>
      </c>
      <c r="H29" s="25" t="n">
        <v>7.74</v>
      </c>
      <c r="I29" s="25" t="n">
        <v>8.09</v>
      </c>
      <c r="J29" s="25" t="n">
        <v>7.59</v>
      </c>
      <c r="K29" s="25"/>
      <c r="L29" s="56" t="n">
        <f aca="false">IFERROR(LOOKUP(2,1/ISNUMBER(B29:K29),B29:K29)/INDEX(B29:K29,MATCH(TRUE(),INDEX(ISNUMBER(B29:K29),0),0))-1,"")</f>
        <v>-0.114352392065344</v>
      </c>
    </row>
    <row r="30" customFormat="false" ht="15" hidden="false" customHeight="false" outlineLevel="0" collapsed="false">
      <c r="A30" s="6" t="s">
        <v>580</v>
      </c>
      <c r="B30" s="55" t="n">
        <v>860.2</v>
      </c>
      <c r="C30" s="55" t="n">
        <v>820.4</v>
      </c>
      <c r="D30" s="55" t="n">
        <v>758.2</v>
      </c>
      <c r="E30" s="55" t="n">
        <v>659</v>
      </c>
      <c r="F30" s="55" t="n">
        <v>606.8</v>
      </c>
      <c r="G30" s="55" t="n">
        <v>730</v>
      </c>
      <c r="H30" s="55" t="n">
        <v>640</v>
      </c>
      <c r="I30" s="55" t="n">
        <v>570</v>
      </c>
      <c r="J30" s="55" t="n">
        <v>480</v>
      </c>
      <c r="K30" s="55" t="n">
        <v>430</v>
      </c>
      <c r="L30" s="56" t="n">
        <f aca="false">IFERROR(LOOKUP(2,1/ISNUMBER(B30:K30),B30:K30)/INDEX(B30:K30,MATCH(TRUE(),INDEX(ISNUMBER(B30:K30),0),0))-1,"")</f>
        <v>-0.500116252034411</v>
      </c>
    </row>
    <row r="31" customFormat="false" ht="15" hidden="false" customHeight="false" outlineLevel="0" collapsed="false">
      <c r="A31" s="6" t="s">
        <v>581</v>
      </c>
      <c r="B31" s="55" t="n">
        <v>1501.4</v>
      </c>
      <c r="C31" s="55" t="n">
        <v>938.9</v>
      </c>
      <c r="D31" s="55" t="n">
        <v>1430.7</v>
      </c>
      <c r="E31" s="55" t="n">
        <v>1098.6</v>
      </c>
      <c r="F31" s="55" t="n">
        <v>1264.3</v>
      </c>
      <c r="G31" s="55"/>
      <c r="H31" s="55" t="n">
        <v>1260</v>
      </c>
      <c r="I31" s="55" t="n">
        <v>1160</v>
      </c>
      <c r="J31" s="55" t="n">
        <v>1260</v>
      </c>
      <c r="K31" s="55" t="n">
        <v>820</v>
      </c>
      <c r="L31" s="56" t="n">
        <f aca="false">IFERROR(LOOKUP(2,1/ISNUMBER(B31:K31),B31:K31)/INDEX(B31:K31,MATCH(TRUE(),INDEX(ISNUMBER(B31:K31),0),0))-1,"")</f>
        <v>-0.453843079792194</v>
      </c>
    </row>
    <row r="32" customFormat="false" ht="15" hidden="false" customHeight="false" outlineLevel="0" collapsed="false">
      <c r="A32" s="6" t="s">
        <v>582</v>
      </c>
      <c r="B32" s="55" t="n">
        <v>61543.2</v>
      </c>
      <c r="C32" s="55" t="n">
        <v>60398.6</v>
      </c>
      <c r="D32" s="55" t="n">
        <v>62017.6</v>
      </c>
      <c r="E32" s="55" t="n">
        <v>61020.4</v>
      </c>
      <c r="F32" s="55" t="n">
        <v>114634</v>
      </c>
      <c r="G32" s="55" t="n">
        <v>120213</v>
      </c>
      <c r="H32" s="55" t="n">
        <v>52820</v>
      </c>
      <c r="I32" s="55" t="n">
        <v>102880</v>
      </c>
      <c r="J32" s="55" t="n">
        <v>107960</v>
      </c>
      <c r="K32" s="55" t="n">
        <v>103770</v>
      </c>
      <c r="L32" s="56" t="n">
        <f aca="false">IFERROR(LOOKUP(2,1/ISNUMBER(B32:K32),B32:K32)/INDEX(B32:K32,MATCH(TRUE(),INDEX(ISNUMBER(B32:K32),0),0))-1,"")</f>
        <v>0.686132667784581</v>
      </c>
    </row>
    <row r="34" customFormat="false" ht="78" hidden="false" customHeight="true" outlineLevel="0" collapsed="false">
      <c r="A34" s="38" t="s">
        <v>585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</row>
  </sheetData>
  <mergeCells count="1"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1" t="s">
        <v>586</v>
      </c>
    </row>
    <row r="2" customFormat="false" ht="15" hidden="false" customHeight="false" outlineLevel="0" collapsed="false">
      <c r="A2" s="2" t="s">
        <v>587</v>
      </c>
    </row>
    <row r="4" customFormat="false" ht="15" hidden="false" customHeight="false" outlineLevel="0" collapsed="false">
      <c r="A4" s="3" t="s">
        <v>588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11" t="s">
        <v>339</v>
      </c>
      <c r="B5" s="11" t="s">
        <v>589</v>
      </c>
      <c r="C5" s="11" t="s">
        <v>568</v>
      </c>
      <c r="D5" s="11" t="s">
        <v>569</v>
      </c>
      <c r="E5" s="11" t="s">
        <v>570</v>
      </c>
      <c r="F5" s="11" t="s">
        <v>571</v>
      </c>
      <c r="G5" s="11" t="s">
        <v>572</v>
      </c>
      <c r="H5" s="11" t="s">
        <v>573</v>
      </c>
      <c r="I5" s="11" t="s">
        <v>574</v>
      </c>
      <c r="J5" s="11" t="s">
        <v>590</v>
      </c>
      <c r="K5" s="11" t="s">
        <v>591</v>
      </c>
      <c r="L5" s="11" t="s">
        <v>592</v>
      </c>
    </row>
    <row r="6" customFormat="false" ht="15" hidden="false" customHeight="false" outlineLevel="0" collapsed="false">
      <c r="A6" s="6" t="s">
        <v>217</v>
      </c>
      <c r="B6" s="6" t="s">
        <v>593</v>
      </c>
      <c r="C6" s="33" t="n">
        <v>51980</v>
      </c>
      <c r="D6" s="33" t="n">
        <v>50724</v>
      </c>
      <c r="E6" s="33" t="n">
        <v>52444</v>
      </c>
      <c r="F6" s="33" t="n">
        <v>60073</v>
      </c>
      <c r="G6" s="33" t="n">
        <v>59604</v>
      </c>
      <c r="H6" s="33" t="n">
        <v>52479</v>
      </c>
      <c r="I6" s="33" t="n">
        <v>50503</v>
      </c>
      <c r="J6" s="33" t="n">
        <v>50629</v>
      </c>
      <c r="K6" s="33" t="n">
        <v>51834.8</v>
      </c>
      <c r="L6" s="33" t="n">
        <v>53358.6</v>
      </c>
    </row>
    <row r="7" customFormat="false" ht="15" hidden="false" customHeight="false" outlineLevel="0" collapsed="false">
      <c r="A7" s="6" t="s">
        <v>594</v>
      </c>
      <c r="B7" s="6" t="s">
        <v>593</v>
      </c>
      <c r="C7" s="33" t="n">
        <v>29102</v>
      </c>
      <c r="D7" s="33" t="n">
        <v>28684</v>
      </c>
      <c r="E7" s="33" t="n">
        <v>30259</v>
      </c>
      <c r="F7" s="33" t="n">
        <v>35906</v>
      </c>
      <c r="G7" s="33" t="n">
        <v>34429</v>
      </c>
      <c r="H7" s="33" t="n">
        <v>27976</v>
      </c>
      <c r="I7" s="33" t="n">
        <v>26794</v>
      </c>
      <c r="J7" s="33"/>
      <c r="K7" s="33"/>
      <c r="L7" s="33"/>
    </row>
    <row r="8" customFormat="false" ht="15" hidden="false" customHeight="false" outlineLevel="0" collapsed="false">
      <c r="A8" s="6" t="s">
        <v>595</v>
      </c>
      <c r="B8" s="6" t="s">
        <v>593</v>
      </c>
      <c r="C8" s="42" t="n">
        <f aca="false">C6-C7</f>
        <v>22878</v>
      </c>
      <c r="D8" s="42" t="n">
        <f aca="false">D6-D7</f>
        <v>22040</v>
      </c>
      <c r="E8" s="42" t="n">
        <f aca="false">E6-E7</f>
        <v>22185</v>
      </c>
      <c r="F8" s="42" t="n">
        <f aca="false">F6-F7</f>
        <v>24167</v>
      </c>
      <c r="G8" s="42" t="n">
        <f aca="false">G6-G7</f>
        <v>25175</v>
      </c>
      <c r="H8" s="42" t="n">
        <f aca="false">H6-H7</f>
        <v>24503</v>
      </c>
      <c r="I8" s="42" t="n">
        <f aca="false">I6-I7</f>
        <v>23709</v>
      </c>
      <c r="J8" s="6"/>
      <c r="K8" s="33" t="n">
        <v>24245.7</v>
      </c>
      <c r="L8" s="33" t="n">
        <v>25100.4</v>
      </c>
    </row>
    <row r="9" customFormat="false" ht="15" hidden="false" customHeight="false" outlineLevel="0" collapsed="false">
      <c r="A9" s="6" t="s">
        <v>596</v>
      </c>
      <c r="B9" s="6" t="s">
        <v>593</v>
      </c>
      <c r="C9" s="33" t="n">
        <v>9947</v>
      </c>
      <c r="D9" s="33" t="n">
        <v>9367</v>
      </c>
      <c r="E9" s="33" t="n">
        <v>9636</v>
      </c>
      <c r="F9" s="33" t="n">
        <v>9592</v>
      </c>
      <c r="G9" s="33" t="n">
        <v>9931</v>
      </c>
      <c r="H9" s="33" t="n">
        <v>10198</v>
      </c>
      <c r="I9" s="33" t="n">
        <v>10084</v>
      </c>
      <c r="J9" s="33"/>
      <c r="K9" s="33" t="n">
        <v>10455.8</v>
      </c>
      <c r="L9" s="33" t="n">
        <v>10788.5</v>
      </c>
    </row>
    <row r="10" customFormat="false" ht="15" hidden="false" customHeight="false" outlineLevel="0" collapsed="false">
      <c r="A10" s="6" t="s">
        <v>597</v>
      </c>
      <c r="B10" s="6" t="s">
        <v>593</v>
      </c>
      <c r="C10" s="33" t="n">
        <v>763</v>
      </c>
      <c r="D10" s="33" t="n">
        <v>647</v>
      </c>
      <c r="E10" s="33" t="n">
        <v>563</v>
      </c>
      <c r="F10" s="33" t="n">
        <v>782</v>
      </c>
      <c r="G10" s="33" t="n">
        <v>1075</v>
      </c>
      <c r="H10" s="33" t="n">
        <v>1063</v>
      </c>
      <c r="I10" s="33" t="n">
        <v>1104</v>
      </c>
      <c r="J10" s="33"/>
      <c r="K10" s="33"/>
      <c r="L10" s="33"/>
    </row>
    <row r="11" customFormat="false" ht="15" hidden="false" customHeight="false" outlineLevel="0" collapsed="false">
      <c r="A11" s="6" t="s">
        <v>598</v>
      </c>
      <c r="B11" s="6" t="s">
        <v>593</v>
      </c>
      <c r="C11" s="33" t="n">
        <v>9493</v>
      </c>
      <c r="D11" s="33" t="n">
        <v>9040</v>
      </c>
      <c r="E11" s="33" t="n">
        <v>9564</v>
      </c>
      <c r="F11" s="33" t="n">
        <v>9331</v>
      </c>
      <c r="G11" s="33" t="n">
        <v>9654</v>
      </c>
      <c r="H11" s="33" t="n">
        <v>9941</v>
      </c>
      <c r="I11" s="33" t="n">
        <v>9808</v>
      </c>
      <c r="J11" s="33"/>
      <c r="K11" s="33" t="n">
        <v>9989.4</v>
      </c>
      <c r="L11" s="33" t="n">
        <v>10316.7</v>
      </c>
    </row>
    <row r="12" customFormat="false" ht="15" hidden="false" customHeight="false" outlineLevel="0" collapsed="false">
      <c r="A12" s="6" t="s">
        <v>599</v>
      </c>
      <c r="B12" s="6" t="s">
        <v>593</v>
      </c>
      <c r="C12" s="33" t="n">
        <v>4164</v>
      </c>
      <c r="D12" s="33" t="n">
        <v>4462</v>
      </c>
      <c r="E12" s="33" t="n">
        <v>4683</v>
      </c>
      <c r="F12" s="33" t="n">
        <v>5931</v>
      </c>
      <c r="G12" s="33" t="n">
        <v>5119</v>
      </c>
      <c r="H12" s="33" t="n">
        <v>5177</v>
      </c>
      <c r="I12" s="33" t="n">
        <v>4043</v>
      </c>
      <c r="J12" s="33"/>
      <c r="K12" s="33"/>
      <c r="L12" s="33"/>
    </row>
    <row r="13" customFormat="false" ht="15" hidden="false" customHeight="false" outlineLevel="0" collapsed="false">
      <c r="A13" s="6" t="s">
        <v>600</v>
      </c>
      <c r="B13" s="6" t="s">
        <v>593</v>
      </c>
      <c r="C13" s="33" t="n">
        <v>5072</v>
      </c>
      <c r="D13" s="33" t="n">
        <v>6297</v>
      </c>
      <c r="E13" s="33" t="n">
        <v>4495</v>
      </c>
      <c r="F13" s="33" t="n">
        <v>5523</v>
      </c>
      <c r="G13" s="33" t="n">
        <v>5853</v>
      </c>
      <c r="H13" s="33" t="n">
        <v>7317</v>
      </c>
      <c r="I13" s="33" t="n">
        <v>5012</v>
      </c>
      <c r="J13" s="33"/>
      <c r="K13" s="33"/>
      <c r="L13" s="33"/>
    </row>
    <row r="14" customFormat="false" ht="15" hidden="false" customHeight="false" outlineLevel="0" collapsed="false">
      <c r="A14" s="6" t="s">
        <v>601</v>
      </c>
      <c r="B14" s="6" t="s">
        <v>593</v>
      </c>
      <c r="C14" s="33" t="n">
        <v>4916</v>
      </c>
      <c r="D14" s="33" t="n">
        <v>3433</v>
      </c>
      <c r="E14" s="33" t="n">
        <v>3582</v>
      </c>
      <c r="F14" s="33" t="n">
        <v>4544</v>
      </c>
      <c r="G14" s="33" t="n">
        <v>4023</v>
      </c>
      <c r="H14" s="33" t="n">
        <v>4227</v>
      </c>
      <c r="I14" s="33" t="n">
        <v>4852</v>
      </c>
      <c r="J14" s="33"/>
      <c r="K14" s="33"/>
      <c r="L14" s="33"/>
    </row>
    <row r="15" customFormat="false" ht="15" hidden="false" customHeight="false" outlineLevel="0" collapsed="false">
      <c r="A15" s="6" t="s">
        <v>602</v>
      </c>
      <c r="B15" s="6" t="s">
        <v>593</v>
      </c>
      <c r="C15" s="33" t="n">
        <v>12062</v>
      </c>
      <c r="D15" s="33" t="n">
        <v>10558</v>
      </c>
      <c r="E15" s="33" t="n">
        <v>10347</v>
      </c>
      <c r="F15" s="33" t="n">
        <v>10770</v>
      </c>
      <c r="G15" s="33" t="n">
        <v>10707</v>
      </c>
      <c r="H15" s="33" t="n">
        <v>11669</v>
      </c>
      <c r="I15" s="33" t="n">
        <v>8992</v>
      </c>
      <c r="J15" s="33"/>
      <c r="K15" s="33"/>
      <c r="L15" s="33"/>
    </row>
    <row r="16" customFormat="false" ht="15" hidden="false" customHeight="false" outlineLevel="0" collapsed="false">
      <c r="A16" s="6" t="s">
        <v>603</v>
      </c>
      <c r="B16" s="6" t="s">
        <v>593</v>
      </c>
      <c r="C16" s="33" t="n">
        <v>18067</v>
      </c>
      <c r="D16" s="33" t="n">
        <v>18942</v>
      </c>
      <c r="E16" s="33" t="n">
        <v>20330</v>
      </c>
      <c r="F16" s="33" t="n">
        <v>21609</v>
      </c>
      <c r="G16" s="33" t="n">
        <v>21109</v>
      </c>
      <c r="H16" s="33" t="n">
        <v>22311</v>
      </c>
      <c r="I16" s="33" t="n">
        <v>17709</v>
      </c>
      <c r="J16" s="33"/>
      <c r="K16" s="33"/>
      <c r="L16" s="33"/>
    </row>
    <row r="17" customFormat="false" ht="15" hidden="false" customHeight="false" outlineLevel="0" collapsed="false">
      <c r="A17" s="6" t="s">
        <v>604</v>
      </c>
      <c r="B17" s="6" t="s">
        <v>593</v>
      </c>
      <c r="C17" s="33" t="n">
        <v>5625</v>
      </c>
      <c r="D17" s="33" t="n">
        <v>5581</v>
      </c>
      <c r="E17" s="33" t="n">
        <v>6049</v>
      </c>
      <c r="F17" s="33" t="n">
        <v>7642</v>
      </c>
      <c r="G17" s="33" t="n">
        <v>6487</v>
      </c>
      <c r="H17" s="33" t="n">
        <v>5744</v>
      </c>
      <c r="I17" s="33" t="n">
        <v>9469</v>
      </c>
      <c r="J17" s="33"/>
      <c r="K17" s="33"/>
      <c r="L17" s="33"/>
    </row>
    <row r="18" customFormat="false" ht="15" hidden="false" customHeight="false" outlineLevel="0" collapsed="false">
      <c r="A18" s="6" t="s">
        <v>605</v>
      </c>
      <c r="B18" s="6" t="s">
        <v>593</v>
      </c>
      <c r="C18" s="33" t="n">
        <v>1982</v>
      </c>
      <c r="D18" s="33" t="n">
        <v>2018</v>
      </c>
      <c r="E18" s="33" t="n">
        <v>1763</v>
      </c>
      <c r="F18" s="33" t="n">
        <v>1946</v>
      </c>
      <c r="G18" s="33" t="n">
        <v>1579</v>
      </c>
      <c r="H18" s="33" t="n">
        <v>1382</v>
      </c>
      <c r="I18" s="33" t="n">
        <v>1364</v>
      </c>
      <c r="J18" s="33"/>
      <c r="K18" s="33"/>
      <c r="L18" s="33"/>
    </row>
    <row r="19" customFormat="false" ht="15" hidden="false" customHeight="false" outlineLevel="0" collapsed="false">
      <c r="A19" s="6" t="s">
        <v>606</v>
      </c>
      <c r="B19" s="6" t="s">
        <v>593</v>
      </c>
      <c r="C19" s="33" t="n">
        <v>7725</v>
      </c>
      <c r="D19" s="33" t="n">
        <v>8791</v>
      </c>
      <c r="E19" s="33" t="n">
        <v>7817</v>
      </c>
      <c r="F19" s="33" t="n">
        <v>7010</v>
      </c>
      <c r="G19" s="33" t="n">
        <v>9033</v>
      </c>
      <c r="H19" s="33" t="n">
        <v>9269</v>
      </c>
      <c r="I19" s="33" t="n">
        <v>8436</v>
      </c>
      <c r="J19" s="33"/>
      <c r="K19" s="33"/>
      <c r="L19" s="33"/>
    </row>
    <row r="20" customFormat="false" ht="15" hidden="false" customHeight="false" outlineLevel="0" collapsed="false">
      <c r="A20" s="6" t="s">
        <v>607</v>
      </c>
      <c r="B20" s="6" t="s">
        <v>593</v>
      </c>
      <c r="C20" s="33" t="n">
        <v>-1526</v>
      </c>
      <c r="D20" s="33" t="n">
        <v>-1021</v>
      </c>
      <c r="E20" s="33" t="n">
        <v>-1340</v>
      </c>
      <c r="F20" s="33" t="n">
        <v>-1709</v>
      </c>
      <c r="G20" s="33" t="n">
        <v>-1745</v>
      </c>
      <c r="H20" s="33" t="n">
        <v>-1614</v>
      </c>
      <c r="I20" s="33" t="n">
        <v>-1591</v>
      </c>
      <c r="J20" s="33"/>
      <c r="K20" s="33"/>
      <c r="L20" s="33"/>
    </row>
    <row r="21" customFormat="false" ht="15" hidden="false" customHeight="false" outlineLevel="0" collapsed="false">
      <c r="A21" s="6" t="s">
        <v>608</v>
      </c>
      <c r="B21" s="6" t="s">
        <v>593</v>
      </c>
      <c r="C21" s="33" t="n">
        <v>-4209</v>
      </c>
      <c r="D21" s="33" t="n">
        <v>-4279</v>
      </c>
      <c r="E21" s="33" t="n">
        <v>-4483</v>
      </c>
      <c r="F21" s="33" t="n">
        <v>-4329</v>
      </c>
      <c r="G21" s="33" t="n">
        <v>-4363</v>
      </c>
      <c r="H21" s="33" t="n">
        <v>-4319</v>
      </c>
      <c r="I21" s="33" t="n">
        <v>-4453</v>
      </c>
      <c r="J21" s="33"/>
      <c r="K21" s="33"/>
      <c r="L21" s="33"/>
    </row>
    <row r="22" customFormat="false" ht="15" hidden="false" customHeight="false" outlineLevel="0" collapsed="false">
      <c r="A22" s="70" t="s">
        <v>609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</row>
    <row r="23" customFormat="false" ht="15" hidden="false" customHeight="false" outlineLevel="0" collapsed="false">
      <c r="A23" s="6" t="s">
        <v>610</v>
      </c>
      <c r="B23" s="6"/>
      <c r="C23" s="6"/>
      <c r="D23" s="34" t="n">
        <f aca="false">D6/C6-1</f>
        <v>-0.0241631396691036</v>
      </c>
      <c r="E23" s="34" t="n">
        <f aca="false">E6/D6-1</f>
        <v>0.0339089977131142</v>
      </c>
      <c r="F23" s="34" t="n">
        <f aca="false">F6/E6-1</f>
        <v>0.145469453130959</v>
      </c>
      <c r="G23" s="34" t="n">
        <f aca="false">G6/F6-1</f>
        <v>-0.00780716794566616</v>
      </c>
      <c r="H23" s="34" t="n">
        <f aca="false">H6/G6-1</f>
        <v>-0.119538957116972</v>
      </c>
      <c r="I23" s="34" t="n">
        <f aca="false">I6/H6-1</f>
        <v>-0.0376531565006956</v>
      </c>
      <c r="J23" s="6"/>
      <c r="K23" s="6"/>
      <c r="L23" s="6"/>
      <c r="M23" s="6"/>
      <c r="N23" s="6"/>
    </row>
    <row r="24" customFormat="false" ht="15" hidden="false" customHeight="false" outlineLevel="0" collapsed="false">
      <c r="A24" s="6" t="s">
        <v>611</v>
      </c>
      <c r="B24" s="6"/>
      <c r="C24" s="34" t="n">
        <f aca="false">C8/C6</f>
        <v>0.440130819545979</v>
      </c>
      <c r="D24" s="34" t="n">
        <f aca="false">D8/D6</f>
        <v>0.43450831953316</v>
      </c>
      <c r="E24" s="34" t="n">
        <f aca="false">E8/E6</f>
        <v>0.423022652734345</v>
      </c>
      <c r="F24" s="34" t="n">
        <f aca="false">F8/F6</f>
        <v>0.402293875784462</v>
      </c>
      <c r="G24" s="34" t="n">
        <f aca="false">G8/G6</f>
        <v>0.422370981813301</v>
      </c>
      <c r="H24" s="34" t="n">
        <f aca="false">H8/H6</f>
        <v>0.466910573753311</v>
      </c>
      <c r="I24" s="34" t="n">
        <f aca="false">I8/I6</f>
        <v>0.469457259964755</v>
      </c>
      <c r="J24" s="6"/>
      <c r="K24" s="34" t="n">
        <f aca="false">K8/K6</f>
        <v>0.467749465609976</v>
      </c>
      <c r="L24" s="34" t="n">
        <f aca="false">L8/L6</f>
        <v>0.470409643431424</v>
      </c>
      <c r="M24" s="6"/>
      <c r="N24" s="6"/>
    </row>
    <row r="25" customFormat="false" ht="15" hidden="false" customHeight="false" outlineLevel="0" collapsed="false">
      <c r="A25" s="6" t="s">
        <v>612</v>
      </c>
      <c r="B25" s="6"/>
      <c r="C25" s="34" t="n">
        <f aca="false">C9/C6</f>
        <v>0.191362062331666</v>
      </c>
      <c r="D25" s="34" t="n">
        <f aca="false">D9/D6</f>
        <v>0.184666035801593</v>
      </c>
      <c r="E25" s="34" t="n">
        <f aca="false">E9/E6</f>
        <v>0.183738845244451</v>
      </c>
      <c r="F25" s="34" t="n">
        <f aca="false">F9/F6</f>
        <v>0.159672398581726</v>
      </c>
      <c r="G25" s="34" t="n">
        <f aca="false">G9/G6</f>
        <v>0.166616334474196</v>
      </c>
      <c r="H25" s="34" t="n">
        <f aca="false">H9/H6</f>
        <v>0.194325349187294</v>
      </c>
      <c r="I25" s="34" t="n">
        <f aca="false">I9/I6</f>
        <v>0.19967130665505</v>
      </c>
      <c r="J25" s="6"/>
      <c r="K25" s="34" t="n">
        <f aca="false">K9/K6</f>
        <v>0.201713906487533</v>
      </c>
      <c r="L25" s="34" t="n">
        <f aca="false">L9/L6</f>
        <v>0.202188588156361</v>
      </c>
      <c r="M25" s="6"/>
      <c r="N25" s="6"/>
    </row>
    <row r="26" customFormat="false" ht="15" hidden="false" customHeight="false" outlineLevel="0" collapsed="false">
      <c r="A26" s="6" t="s">
        <v>613</v>
      </c>
      <c r="B26" s="6"/>
      <c r="C26" s="28" t="n">
        <f aca="false">C9/C10</f>
        <v>13.0366972477064</v>
      </c>
      <c r="D26" s="28" t="n">
        <f aca="false">D9/D10</f>
        <v>14.4775888717156</v>
      </c>
      <c r="E26" s="28" t="n">
        <f aca="false">E9/E10</f>
        <v>17.1154529307282</v>
      </c>
      <c r="F26" s="28" t="n">
        <f aca="false">F9/F10</f>
        <v>12.2659846547315</v>
      </c>
      <c r="G26" s="28" t="n">
        <f aca="false">G9/G10</f>
        <v>9.23813953488372</v>
      </c>
      <c r="H26" s="28" t="n">
        <f aca="false">H9/H10</f>
        <v>9.59360301034807</v>
      </c>
      <c r="I26" s="28" t="n">
        <f aca="false">I9/I10</f>
        <v>9.13405797101449</v>
      </c>
      <c r="J26" s="6"/>
      <c r="K26" s="6"/>
      <c r="L26" s="6"/>
      <c r="M26" s="6"/>
      <c r="N26" s="6"/>
    </row>
    <row r="27" customFormat="false" ht="15" hidden="false" customHeight="false" outlineLevel="0" collapsed="false">
      <c r="A27" s="6" t="s">
        <v>614</v>
      </c>
      <c r="B27" s="6"/>
      <c r="C27" s="42" t="n">
        <f aca="false">C12/C7*365</f>
        <v>52.2252766132912</v>
      </c>
      <c r="D27" s="42" t="n">
        <f aca="false">D12/D7*365</f>
        <v>56.7783433272905</v>
      </c>
      <c r="E27" s="42" t="n">
        <f aca="false">E12/E7*365</f>
        <v>56.4888132456459</v>
      </c>
      <c r="F27" s="42" t="n">
        <f aca="false">F12/F7*365</f>
        <v>60.2911769620676</v>
      </c>
      <c r="G27" s="42" t="n">
        <f aca="false">G12/G7*365</f>
        <v>54.2692207150948</v>
      </c>
      <c r="H27" s="42" t="n">
        <f aca="false">H12/H7*365</f>
        <v>67.5437875321704</v>
      </c>
      <c r="I27" s="42" t="n">
        <f aca="false">I12/I7*365</f>
        <v>55.0755766216317</v>
      </c>
      <c r="J27" s="6"/>
      <c r="K27" s="6"/>
      <c r="L27" s="6"/>
      <c r="M27" s="6"/>
      <c r="N27" s="6"/>
    </row>
    <row r="28" customFormat="false" ht="15" hidden="false" customHeight="false" outlineLevel="0" collapsed="false">
      <c r="A28" s="6" t="s">
        <v>615</v>
      </c>
      <c r="B28" s="6"/>
      <c r="C28" s="42" t="n">
        <f aca="false">C19+C20</f>
        <v>6199</v>
      </c>
      <c r="D28" s="42" t="n">
        <f aca="false">D19+D20</f>
        <v>7770</v>
      </c>
      <c r="E28" s="42" t="n">
        <f aca="false">E19+E20</f>
        <v>6477</v>
      </c>
      <c r="F28" s="42" t="n">
        <f aca="false">F19+F20</f>
        <v>5301</v>
      </c>
      <c r="G28" s="42" t="n">
        <f aca="false">G19+G20</f>
        <v>7288</v>
      </c>
      <c r="H28" s="42" t="n">
        <f aca="false">H19+H20</f>
        <v>7655</v>
      </c>
      <c r="I28" s="42" t="n">
        <f aca="false">I19+I20</f>
        <v>6845</v>
      </c>
      <c r="J28" s="6"/>
      <c r="K28" s="6"/>
      <c r="L28" s="6"/>
      <c r="M28" s="6"/>
      <c r="N28" s="6"/>
    </row>
    <row r="29" customFormat="false" ht="15" hidden="false" customHeight="false" outlineLevel="0" collapsed="false">
      <c r="A29" s="6" t="s">
        <v>616</v>
      </c>
      <c r="B29" s="6"/>
      <c r="C29" s="28" t="n">
        <f aca="false">IFERROR(-C28/C21,0)</f>
        <v>1.4727963886909</v>
      </c>
      <c r="D29" s="28" t="n">
        <f aca="false">IFERROR(-D28/D21,0)</f>
        <v>1.81584482355691</v>
      </c>
      <c r="E29" s="28" t="n">
        <f aca="false">IFERROR(-E28/E21,0)</f>
        <v>1.44479143430738</v>
      </c>
      <c r="F29" s="28" t="n">
        <f aca="false">IFERROR(-F28/F21,0)</f>
        <v>1.22453222453222</v>
      </c>
      <c r="G29" s="28" t="n">
        <f aca="false">IFERROR(-G28/G21,0)</f>
        <v>1.67041026816411</v>
      </c>
      <c r="H29" s="28" t="n">
        <f aca="false">IFERROR(-H28/H21,0)</f>
        <v>1.77240101875434</v>
      </c>
      <c r="I29" s="28" t="n">
        <f aca="false">IFERROR(-I28/I21,0)</f>
        <v>1.53716595553559</v>
      </c>
      <c r="J29" s="6"/>
      <c r="K29" s="6"/>
      <c r="L29" s="6"/>
      <c r="M29" s="6"/>
      <c r="N29" s="6"/>
    </row>
    <row r="30" customFormat="false" ht="15" hidden="false" customHeight="false" outlineLevel="0" collapsed="false">
      <c r="A30" s="6" t="s">
        <v>617</v>
      </c>
      <c r="B30" s="6"/>
      <c r="C30" s="34" t="n">
        <f aca="false">-C20/C6</f>
        <v>0.0293574451712197</v>
      </c>
      <c r="D30" s="34" t="n">
        <f aca="false">-D20/D6</f>
        <v>0.020128538758773</v>
      </c>
      <c r="E30" s="34" t="n">
        <f aca="false">-E20/E6</f>
        <v>0.0255510639920677</v>
      </c>
      <c r="F30" s="34" t="n">
        <f aca="false">-F20/F6</f>
        <v>0.0284487207231202</v>
      </c>
      <c r="G30" s="34" t="n">
        <f aca="false">-G20/G6</f>
        <v>0.0292765586202268</v>
      </c>
      <c r="H30" s="34" t="n">
        <f aca="false">-H20/H6</f>
        <v>0.0307551592065398</v>
      </c>
      <c r="I30" s="34" t="n">
        <f aca="false">-I20/I6</f>
        <v>0.0315030790250084</v>
      </c>
      <c r="J30" s="6"/>
      <c r="K30" s="6"/>
      <c r="L30" s="6"/>
      <c r="M30" s="6"/>
      <c r="N30" s="6"/>
    </row>
    <row r="33" customFormat="false" ht="15" hidden="false" customHeight="false" outlineLevel="0" collapsed="false">
      <c r="A33" s="3" t="s">
        <v>618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false" outlineLevel="0" collapsed="false">
      <c r="A34" s="11" t="s">
        <v>339</v>
      </c>
      <c r="B34" s="11" t="s">
        <v>589</v>
      </c>
      <c r="C34" s="11" t="s">
        <v>568</v>
      </c>
      <c r="D34" s="11" t="s">
        <v>569</v>
      </c>
      <c r="E34" s="11" t="s">
        <v>570</v>
      </c>
      <c r="F34" s="11" t="s">
        <v>571</v>
      </c>
      <c r="G34" s="11" t="s">
        <v>572</v>
      </c>
      <c r="H34" s="11" t="s">
        <v>573</v>
      </c>
      <c r="I34" s="11" t="s">
        <v>574</v>
      </c>
      <c r="J34" s="11" t="s">
        <v>590</v>
      </c>
      <c r="K34" s="11" t="s">
        <v>591</v>
      </c>
      <c r="L34" s="11" t="s">
        <v>592</v>
      </c>
    </row>
    <row r="35" customFormat="false" ht="15" hidden="false" customHeight="false" outlineLevel="0" collapsed="false">
      <c r="A35" s="6" t="s">
        <v>217</v>
      </c>
      <c r="B35" s="6" t="s">
        <v>619</v>
      </c>
      <c r="C35" s="33" t="n">
        <v>92865</v>
      </c>
      <c r="D35" s="33" t="n">
        <v>84681</v>
      </c>
      <c r="E35" s="33" t="n">
        <v>87470</v>
      </c>
      <c r="F35" s="33" t="n">
        <v>94780</v>
      </c>
      <c r="G35" s="33" t="n">
        <v>93351</v>
      </c>
      <c r="H35" s="33" t="n">
        <v>91720</v>
      </c>
      <c r="I35" s="33" t="n">
        <v>89885</v>
      </c>
      <c r="J35" s="33" t="n">
        <v>88775</v>
      </c>
      <c r="K35" s="33" t="n">
        <v>90103</v>
      </c>
      <c r="L35" s="33" t="n">
        <v>92208.1</v>
      </c>
    </row>
    <row r="36" customFormat="false" ht="15" hidden="false" customHeight="false" outlineLevel="0" collapsed="false">
      <c r="A36" s="6" t="s">
        <v>594</v>
      </c>
      <c r="B36" s="6" t="s">
        <v>619</v>
      </c>
      <c r="C36" s="33" t="n">
        <v>46647</v>
      </c>
      <c r="D36" s="33" t="n">
        <v>42971</v>
      </c>
      <c r="E36" s="33" t="n">
        <v>45468</v>
      </c>
      <c r="F36" s="33" t="n">
        <v>51745</v>
      </c>
      <c r="G36" s="33" t="n">
        <v>50328</v>
      </c>
      <c r="H36" s="33" t="n">
        <v>48670</v>
      </c>
      <c r="I36" s="33" t="n">
        <v>48694</v>
      </c>
      <c r="J36" s="33"/>
      <c r="K36" s="33"/>
      <c r="L36" s="33"/>
    </row>
    <row r="37" customFormat="false" ht="15" hidden="false" customHeight="false" outlineLevel="0" collapsed="false">
      <c r="A37" s="6" t="s">
        <v>595</v>
      </c>
      <c r="B37" s="6" t="s">
        <v>619</v>
      </c>
      <c r="C37" s="42" t="n">
        <f aca="false">C35-C36</f>
        <v>46218</v>
      </c>
      <c r="D37" s="42" t="n">
        <f aca="false">D35-D36</f>
        <v>41710</v>
      </c>
      <c r="E37" s="42" t="n">
        <f aca="false">E35-E36</f>
        <v>42002</v>
      </c>
      <c r="F37" s="42" t="n">
        <f aca="false">F35-F36</f>
        <v>43035</v>
      </c>
      <c r="G37" s="42" t="n">
        <f aca="false">G35-G36</f>
        <v>43023</v>
      </c>
      <c r="H37" s="42" t="n">
        <f aca="false">H35-H36</f>
        <v>43050</v>
      </c>
      <c r="I37" s="42" t="n">
        <f aca="false">I35-I36</f>
        <v>41191</v>
      </c>
      <c r="J37" s="6"/>
      <c r="K37" s="33" t="n">
        <v>41731.2</v>
      </c>
      <c r="L37" s="33" t="n">
        <v>43139.6</v>
      </c>
    </row>
    <row r="38" customFormat="false" ht="15" hidden="false" customHeight="false" outlineLevel="0" collapsed="false">
      <c r="A38" s="6" t="s">
        <v>596</v>
      </c>
      <c r="B38" s="6" t="s">
        <v>619</v>
      </c>
      <c r="C38" s="33" t="n">
        <v>16047</v>
      </c>
      <c r="D38" s="33" t="n">
        <v>14248</v>
      </c>
      <c r="E38" s="33" t="n">
        <v>14902</v>
      </c>
      <c r="F38" s="33" t="n">
        <v>15839</v>
      </c>
      <c r="G38" s="33" t="n">
        <v>15865</v>
      </c>
      <c r="H38" s="33" t="n">
        <v>15948</v>
      </c>
      <c r="I38" s="33" t="n">
        <v>13947</v>
      </c>
      <c r="J38" s="33"/>
      <c r="K38" s="33" t="n">
        <v>14728.2</v>
      </c>
      <c r="L38" s="33" t="n">
        <v>15083.4</v>
      </c>
    </row>
    <row r="39" customFormat="false" ht="15" hidden="false" customHeight="false" outlineLevel="0" collapsed="false">
      <c r="A39" s="6" t="s">
        <v>597</v>
      </c>
      <c r="B39" s="6" t="s">
        <v>619</v>
      </c>
      <c r="C39" s="33" t="n">
        <v>1124</v>
      </c>
      <c r="D39" s="33" t="n">
        <v>831</v>
      </c>
      <c r="E39" s="33" t="n">
        <v>815</v>
      </c>
      <c r="F39" s="33" t="n">
        <v>1124</v>
      </c>
      <c r="G39" s="33" t="n">
        <v>1500</v>
      </c>
      <c r="H39" s="33" t="n">
        <v>1700</v>
      </c>
      <c r="I39" s="33" t="n">
        <v>1683</v>
      </c>
      <c r="J39" s="33"/>
      <c r="K39" s="33"/>
      <c r="L39" s="33"/>
    </row>
    <row r="40" customFormat="false" ht="15" hidden="false" customHeight="false" outlineLevel="0" collapsed="false">
      <c r="A40" s="6" t="s">
        <v>598</v>
      </c>
      <c r="B40" s="6" t="s">
        <v>619</v>
      </c>
      <c r="C40" s="33" t="n">
        <v>15031</v>
      </c>
      <c r="D40" s="33" t="n">
        <v>13374</v>
      </c>
      <c r="E40" s="33" t="n">
        <v>14029</v>
      </c>
      <c r="F40" s="33" t="n">
        <v>14799</v>
      </c>
      <c r="G40" s="33" t="n">
        <v>14505</v>
      </c>
      <c r="H40" s="33" t="n">
        <v>14463</v>
      </c>
      <c r="I40" s="33" t="n">
        <v>12421</v>
      </c>
      <c r="J40" s="33"/>
      <c r="K40" s="33" t="n">
        <v>13274.7</v>
      </c>
      <c r="L40" s="33" t="n">
        <v>14079.4</v>
      </c>
    </row>
    <row r="41" customFormat="false" ht="15" hidden="false" customHeight="false" outlineLevel="0" collapsed="false">
      <c r="A41" s="6" t="s">
        <v>599</v>
      </c>
      <c r="B41" s="6" t="s">
        <v>619</v>
      </c>
      <c r="C41" s="33" t="n">
        <v>9343</v>
      </c>
      <c r="D41" s="33" t="n">
        <v>10101</v>
      </c>
      <c r="E41" s="33" t="n">
        <v>11982</v>
      </c>
      <c r="F41" s="33" t="n">
        <v>15019</v>
      </c>
      <c r="G41" s="33" t="n">
        <v>11896</v>
      </c>
      <c r="H41" s="33" t="n">
        <v>13260</v>
      </c>
      <c r="I41" s="33" t="n">
        <v>12813</v>
      </c>
      <c r="J41" s="33"/>
      <c r="K41" s="33"/>
      <c r="L41" s="33"/>
    </row>
    <row r="42" customFormat="false" ht="15" hidden="false" customHeight="false" outlineLevel="0" collapsed="false">
      <c r="A42" s="6" t="s">
        <v>600</v>
      </c>
      <c r="B42" s="6" t="s">
        <v>619</v>
      </c>
      <c r="C42" s="33" t="n">
        <v>10263</v>
      </c>
      <c r="D42" s="33" t="n">
        <v>8609</v>
      </c>
      <c r="E42" s="33" t="n">
        <v>13995</v>
      </c>
      <c r="F42" s="33" t="n">
        <v>6687</v>
      </c>
      <c r="G42" s="33" t="n">
        <v>5851</v>
      </c>
      <c r="H42" s="33" t="n">
        <v>7871</v>
      </c>
      <c r="I42" s="33" t="n">
        <v>6230</v>
      </c>
      <c r="J42" s="33"/>
      <c r="K42" s="33"/>
      <c r="L42" s="33"/>
    </row>
    <row r="43" customFormat="false" ht="15" hidden="false" customHeight="false" outlineLevel="0" collapsed="false">
      <c r="A43" s="6" t="s">
        <v>601</v>
      </c>
      <c r="B43" s="6" t="s">
        <v>619</v>
      </c>
      <c r="C43" s="33" t="n">
        <v>9408</v>
      </c>
      <c r="D43" s="33" t="n">
        <v>8087</v>
      </c>
      <c r="E43" s="33" t="n">
        <v>8564</v>
      </c>
      <c r="F43" s="33" t="n">
        <v>8795</v>
      </c>
      <c r="G43" s="33" t="n">
        <v>8992</v>
      </c>
      <c r="H43" s="33" t="n">
        <v>9414</v>
      </c>
      <c r="I43" s="33" t="n">
        <v>8744</v>
      </c>
      <c r="J43" s="33"/>
      <c r="K43" s="33"/>
      <c r="L43" s="33"/>
    </row>
    <row r="44" customFormat="false" ht="15" hidden="false" customHeight="false" outlineLevel="0" collapsed="false">
      <c r="A44" s="6" t="s">
        <v>602</v>
      </c>
      <c r="B44" s="6" t="s">
        <v>619</v>
      </c>
      <c r="C44" s="33" t="n">
        <v>28762</v>
      </c>
      <c r="D44" s="33" t="n">
        <v>25840</v>
      </c>
      <c r="E44" s="33" t="n">
        <v>28345</v>
      </c>
      <c r="F44" s="33" t="n">
        <v>30141</v>
      </c>
      <c r="G44" s="33" t="n">
        <v>30467</v>
      </c>
      <c r="H44" s="33" t="n">
        <v>33706</v>
      </c>
      <c r="I44" s="33" t="n">
        <v>32549</v>
      </c>
      <c r="J44" s="33"/>
      <c r="K44" s="33"/>
      <c r="L44" s="33"/>
    </row>
    <row r="45" customFormat="false" ht="15" hidden="false" customHeight="false" outlineLevel="0" collapsed="false">
      <c r="A45" s="6" t="s">
        <v>603</v>
      </c>
      <c r="B45" s="6" t="s">
        <v>619</v>
      </c>
      <c r="C45" s="33" t="n">
        <v>28896</v>
      </c>
      <c r="D45" s="33" t="n">
        <v>27620</v>
      </c>
      <c r="E45" s="33" t="n">
        <v>31012</v>
      </c>
      <c r="F45" s="33" t="n">
        <v>31262</v>
      </c>
      <c r="G45" s="33" t="n">
        <v>28693</v>
      </c>
      <c r="H45" s="33" t="n">
        <v>30595</v>
      </c>
      <c r="I45" s="33" t="n">
        <v>27636</v>
      </c>
      <c r="J45" s="33"/>
      <c r="K45" s="33"/>
      <c r="L45" s="33"/>
    </row>
    <row r="46" customFormat="false" ht="15" hidden="false" customHeight="false" outlineLevel="0" collapsed="false">
      <c r="A46" s="6" t="s">
        <v>604</v>
      </c>
      <c r="B46" s="6" t="s">
        <v>619</v>
      </c>
      <c r="C46" s="33" t="n">
        <v>12609</v>
      </c>
      <c r="D46" s="33" t="n">
        <v>12232</v>
      </c>
      <c r="E46" s="33" t="n">
        <v>16905</v>
      </c>
      <c r="F46" s="33" t="n">
        <v>9270</v>
      </c>
      <c r="G46" s="33" t="n">
        <v>11209</v>
      </c>
      <c r="H46" s="33" t="n">
        <v>10884</v>
      </c>
      <c r="I46" s="33" t="n">
        <v>9033</v>
      </c>
      <c r="J46" s="33"/>
      <c r="K46" s="33"/>
      <c r="L46" s="33"/>
    </row>
    <row r="47" customFormat="false" ht="15" hidden="false" customHeight="false" outlineLevel="0" collapsed="false">
      <c r="A47" s="6" t="s">
        <v>605</v>
      </c>
      <c r="B47" s="6" t="s">
        <v>619</v>
      </c>
      <c r="C47" s="33" t="n">
        <v>3713</v>
      </c>
      <c r="D47" s="33" t="n">
        <v>3465</v>
      </c>
      <c r="E47" s="33" t="n">
        <v>3440</v>
      </c>
      <c r="F47" s="33" t="n">
        <v>3541</v>
      </c>
      <c r="G47" s="33" t="n">
        <v>3458</v>
      </c>
      <c r="H47" s="33" t="n">
        <v>3582</v>
      </c>
      <c r="I47" s="33" t="n">
        <v>3633</v>
      </c>
      <c r="J47" s="33"/>
      <c r="K47" s="33"/>
      <c r="L47" s="33"/>
    </row>
    <row r="48" customFormat="false" ht="15" hidden="false" customHeight="false" outlineLevel="0" collapsed="false">
      <c r="A48" s="6" t="s">
        <v>606</v>
      </c>
      <c r="B48" s="6" t="s">
        <v>619</v>
      </c>
      <c r="C48" s="33" t="n">
        <v>15850</v>
      </c>
      <c r="D48" s="33" t="n">
        <v>14377</v>
      </c>
      <c r="E48" s="33" t="n">
        <v>13864</v>
      </c>
      <c r="F48" s="33" t="n">
        <v>11907</v>
      </c>
      <c r="G48" s="33" t="n">
        <v>15941</v>
      </c>
      <c r="H48" s="33" t="n">
        <v>16675</v>
      </c>
      <c r="I48" s="33" t="n">
        <v>15904</v>
      </c>
      <c r="J48" s="33"/>
      <c r="K48" s="33"/>
      <c r="L48" s="33"/>
    </row>
    <row r="49" customFormat="false" ht="15" hidden="false" customHeight="false" outlineLevel="0" collapsed="false">
      <c r="A49" s="6" t="s">
        <v>607</v>
      </c>
      <c r="B49" s="6" t="s">
        <v>619</v>
      </c>
      <c r="C49" s="33" t="n">
        <v>-4211</v>
      </c>
      <c r="D49" s="33" t="n">
        <v>-4364</v>
      </c>
      <c r="E49" s="33" t="n">
        <v>-5341</v>
      </c>
      <c r="F49" s="33" t="n">
        <v>-5361</v>
      </c>
      <c r="G49" s="33" t="n">
        <v>-6203</v>
      </c>
      <c r="H49" s="33" t="n">
        <v>-5963</v>
      </c>
      <c r="I49" s="33" t="n">
        <v>-4911</v>
      </c>
      <c r="J49" s="33"/>
      <c r="K49" s="33"/>
      <c r="L49" s="33"/>
    </row>
    <row r="50" customFormat="false" ht="15" hidden="false" customHeight="false" outlineLevel="0" collapsed="false">
      <c r="A50" s="6" t="s">
        <v>608</v>
      </c>
      <c r="B50" s="6" t="s">
        <v>619</v>
      </c>
      <c r="C50" s="33" t="n">
        <v>-7230</v>
      </c>
      <c r="D50" s="33" t="n">
        <v>-7700</v>
      </c>
      <c r="E50" s="33" t="n">
        <v>-7681</v>
      </c>
      <c r="F50" s="33" t="n">
        <v>-7618</v>
      </c>
      <c r="G50" s="33" t="n">
        <v>-7829</v>
      </c>
      <c r="H50" s="33" t="n">
        <v>-7816</v>
      </c>
      <c r="I50" s="33" t="n">
        <v>-7849</v>
      </c>
      <c r="J50" s="33"/>
      <c r="K50" s="33"/>
      <c r="L50" s="33"/>
    </row>
    <row r="51" customFormat="false" ht="15" hidden="false" customHeight="false" outlineLevel="0" collapsed="false">
      <c r="A51" s="70" t="s">
        <v>609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</row>
    <row r="52" customFormat="false" ht="15" hidden="false" customHeight="false" outlineLevel="0" collapsed="false">
      <c r="A52" s="6" t="s">
        <v>610</v>
      </c>
      <c r="B52" s="6"/>
      <c r="C52" s="6"/>
      <c r="D52" s="34" t="n">
        <f aca="false">D35/C35-1</f>
        <v>-0.0881279276368923</v>
      </c>
      <c r="E52" s="34" t="n">
        <f aca="false">E35/D35-1</f>
        <v>0.0329353692091496</v>
      </c>
      <c r="F52" s="34" t="n">
        <f aca="false">F35/E35-1</f>
        <v>0.0835715102320795</v>
      </c>
      <c r="G52" s="34" t="n">
        <f aca="false">G35/F35-1</f>
        <v>-0.0150770204684533</v>
      </c>
      <c r="H52" s="34" t="n">
        <f aca="false">H35/G35-1</f>
        <v>-0.0174716928581375</v>
      </c>
      <c r="I52" s="34" t="n">
        <f aca="false">I35/H35-1</f>
        <v>-0.0200065416484955</v>
      </c>
      <c r="J52" s="6"/>
      <c r="K52" s="6"/>
      <c r="L52" s="6"/>
      <c r="M52" s="6"/>
      <c r="N52" s="6"/>
    </row>
    <row r="53" customFormat="false" ht="15" hidden="false" customHeight="false" outlineLevel="0" collapsed="false">
      <c r="A53" s="6" t="s">
        <v>611</v>
      </c>
      <c r="B53" s="6"/>
      <c r="C53" s="34" t="n">
        <f aca="false">C37/C35</f>
        <v>0.497690195445001</v>
      </c>
      <c r="D53" s="34" t="n">
        <f aca="false">D37/D35</f>
        <v>0.492554410080183</v>
      </c>
      <c r="E53" s="34" t="n">
        <f aca="false">E37/E35</f>
        <v>0.480187492854693</v>
      </c>
      <c r="F53" s="34" t="n">
        <f aca="false">F37/F35</f>
        <v>0.454051487655624</v>
      </c>
      <c r="G53" s="34" t="n">
        <f aca="false">G37/G35</f>
        <v>0.460873477520327</v>
      </c>
      <c r="H53" s="34" t="n">
        <f aca="false">H37/H35</f>
        <v>0.469363279546446</v>
      </c>
      <c r="I53" s="34" t="n">
        <f aca="false">I37/I35</f>
        <v>0.458263336485509</v>
      </c>
      <c r="J53" s="6"/>
      <c r="K53" s="34" t="n">
        <f aca="false">K37/K35</f>
        <v>0.463149950612077</v>
      </c>
      <c r="L53" s="34" t="n">
        <f aca="false">L37/L35</f>
        <v>0.467850438302058</v>
      </c>
      <c r="M53" s="6"/>
      <c r="N53" s="6"/>
    </row>
    <row r="54" customFormat="false" ht="15" hidden="false" customHeight="false" outlineLevel="0" collapsed="false">
      <c r="A54" s="6" t="s">
        <v>612</v>
      </c>
      <c r="B54" s="6"/>
      <c r="C54" s="34" t="n">
        <f aca="false">C38/C35</f>
        <v>0.172799224680989</v>
      </c>
      <c r="D54" s="34" t="n">
        <f aca="false">D38/D35</f>
        <v>0.168254980456065</v>
      </c>
      <c r="E54" s="34" t="n">
        <f aca="false">E38/E35</f>
        <v>0.170366982965588</v>
      </c>
      <c r="F54" s="34" t="n">
        <f aca="false">F38/F35</f>
        <v>0.167113315045368</v>
      </c>
      <c r="G54" s="34" t="n">
        <f aca="false">G38/G35</f>
        <v>0.169949973754968</v>
      </c>
      <c r="H54" s="34" t="n">
        <f aca="false">H38/H35</f>
        <v>0.173877017008286</v>
      </c>
      <c r="I54" s="34" t="n">
        <f aca="false">I38/I35</f>
        <v>0.155164932969906</v>
      </c>
      <c r="J54" s="6"/>
      <c r="K54" s="34" t="n">
        <f aca="false">K38/K35</f>
        <v>0.163459596239859</v>
      </c>
      <c r="L54" s="34" t="n">
        <f aca="false">L38/L35</f>
        <v>0.163579989176656</v>
      </c>
      <c r="M54" s="6"/>
      <c r="N54" s="6"/>
    </row>
    <row r="55" customFormat="false" ht="15" hidden="false" customHeight="false" outlineLevel="0" collapsed="false">
      <c r="A55" s="6" t="s">
        <v>613</v>
      </c>
      <c r="B55" s="6"/>
      <c r="C55" s="28" t="n">
        <f aca="false">C38/C39</f>
        <v>14.2766903914591</v>
      </c>
      <c r="D55" s="28" t="n">
        <f aca="false">D38/D39</f>
        <v>17.1456077015644</v>
      </c>
      <c r="E55" s="28" t="n">
        <f aca="false">E38/E39</f>
        <v>18.2846625766871</v>
      </c>
      <c r="F55" s="28" t="n">
        <f aca="false">F38/F39</f>
        <v>14.0916370106762</v>
      </c>
      <c r="G55" s="28" t="n">
        <f aca="false">G38/G39</f>
        <v>10.5766666666667</v>
      </c>
      <c r="H55" s="28" t="n">
        <f aca="false">H38/H39</f>
        <v>9.38117647058824</v>
      </c>
      <c r="I55" s="28" t="n">
        <f aca="false">I38/I39</f>
        <v>8.28698752228164</v>
      </c>
      <c r="J55" s="6"/>
      <c r="K55" s="6"/>
      <c r="L55" s="6"/>
      <c r="M55" s="6"/>
      <c r="N55" s="6"/>
    </row>
    <row r="56" customFormat="false" ht="15" hidden="false" customHeight="false" outlineLevel="0" collapsed="false">
      <c r="A56" s="6" t="s">
        <v>614</v>
      </c>
      <c r="B56" s="6"/>
      <c r="C56" s="42" t="n">
        <f aca="false">C41/C36*365</f>
        <v>73.1064162754304</v>
      </c>
      <c r="D56" s="42" t="n">
        <f aca="false">D41/D36*365</f>
        <v>85.7989108933932</v>
      </c>
      <c r="E56" s="42" t="n">
        <f aca="false">E41/E36*365</f>
        <v>96.1869886513592</v>
      </c>
      <c r="F56" s="42" t="n">
        <f aca="false">F41/F36*365</f>
        <v>105.941346990047</v>
      </c>
      <c r="G56" s="42" t="n">
        <f aca="false">G41/G36*365</f>
        <v>86.2748370688285</v>
      </c>
      <c r="H56" s="42" t="n">
        <f aca="false">H41/H36*365</f>
        <v>99.4431888226834</v>
      </c>
      <c r="I56" s="42" t="n">
        <f aca="false">I41/I36*365</f>
        <v>96.0435577278515</v>
      </c>
      <c r="J56" s="6"/>
      <c r="K56" s="6"/>
      <c r="L56" s="6"/>
      <c r="M56" s="6"/>
      <c r="N56" s="6"/>
    </row>
    <row r="57" customFormat="false" ht="15" hidden="false" customHeight="false" outlineLevel="0" collapsed="false">
      <c r="A57" s="6" t="s">
        <v>615</v>
      </c>
      <c r="B57" s="6"/>
      <c r="C57" s="42" t="n">
        <f aca="false">C48+C49</f>
        <v>11639</v>
      </c>
      <c r="D57" s="42" t="n">
        <f aca="false">D48+D49</f>
        <v>10013</v>
      </c>
      <c r="E57" s="42" t="n">
        <f aca="false">E48+E49</f>
        <v>8523</v>
      </c>
      <c r="F57" s="42" t="n">
        <f aca="false">F48+F49</f>
        <v>6546</v>
      </c>
      <c r="G57" s="42" t="n">
        <f aca="false">G48+G49</f>
        <v>9738</v>
      </c>
      <c r="H57" s="42" t="n">
        <f aca="false">H48+H49</f>
        <v>10712</v>
      </c>
      <c r="I57" s="42" t="n">
        <f aca="false">I48+I49</f>
        <v>10993</v>
      </c>
      <c r="J57" s="6"/>
      <c r="K57" s="6"/>
      <c r="L57" s="6"/>
      <c r="M57" s="6"/>
      <c r="N57" s="6"/>
    </row>
    <row r="58" customFormat="false" ht="15" hidden="false" customHeight="false" outlineLevel="0" collapsed="false">
      <c r="A58" s="6" t="s">
        <v>616</v>
      </c>
      <c r="B58" s="6"/>
      <c r="C58" s="28" t="n">
        <f aca="false">IFERROR(-C57/C50,0)</f>
        <v>1.60982019363762</v>
      </c>
      <c r="D58" s="28" t="n">
        <f aca="false">IFERROR(-D57/D50,0)</f>
        <v>1.30038961038961</v>
      </c>
      <c r="E58" s="28" t="n">
        <f aca="false">IFERROR(-E57/E50,0)</f>
        <v>1.10962114308033</v>
      </c>
      <c r="F58" s="28" t="n">
        <f aca="false">IFERROR(-F57/F50,0)</f>
        <v>0.859280651089525</v>
      </c>
      <c r="G58" s="28" t="n">
        <f aca="false">IFERROR(-G57/G50,0)</f>
        <v>1.24383701622174</v>
      </c>
      <c r="H58" s="28" t="n">
        <f aca="false">IFERROR(-H57/H50,0)</f>
        <v>1.37052200614125</v>
      </c>
      <c r="I58" s="28" t="n">
        <f aca="false">IFERROR(-I57/I50,0)</f>
        <v>1.40056058096573</v>
      </c>
      <c r="J58" s="6"/>
      <c r="K58" s="6"/>
      <c r="L58" s="6"/>
      <c r="M58" s="6"/>
      <c r="N58" s="6"/>
    </row>
    <row r="59" customFormat="false" ht="15" hidden="false" customHeight="false" outlineLevel="0" collapsed="false">
      <c r="A59" s="6" t="s">
        <v>617</v>
      </c>
      <c r="B59" s="6"/>
      <c r="C59" s="34" t="n">
        <f aca="false">-C49/C35</f>
        <v>0.0453453938512895</v>
      </c>
      <c r="D59" s="34" t="n">
        <f aca="false">-D49/D35</f>
        <v>0.0515345827281208</v>
      </c>
      <c r="E59" s="34" t="n">
        <f aca="false">-E49/E35</f>
        <v>0.0610609351777752</v>
      </c>
      <c r="F59" s="34" t="n">
        <f aca="false">-F49/F35</f>
        <v>0.0565625659421819</v>
      </c>
      <c r="G59" s="34" t="n">
        <f aca="false">-G49/G35</f>
        <v>0.0664481366027145</v>
      </c>
      <c r="H59" s="34" t="n">
        <f aca="false">-H49/H35</f>
        <v>0.0650130832969909</v>
      </c>
      <c r="I59" s="34" t="n">
        <f aca="false">-I49/I35</f>
        <v>0.0546364799465984</v>
      </c>
      <c r="J59" s="6"/>
      <c r="K59" s="6"/>
      <c r="L59" s="6"/>
      <c r="M59" s="6"/>
      <c r="N59" s="6"/>
    </row>
    <row r="62" customFormat="false" ht="15" hidden="false" customHeight="false" outlineLevel="0" collapsed="false">
      <c r="A62" s="3" t="s">
        <v>620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false" outlineLevel="0" collapsed="false">
      <c r="A63" s="11" t="s">
        <v>339</v>
      </c>
      <c r="B63" s="11" t="s">
        <v>589</v>
      </c>
      <c r="C63" s="11" t="s">
        <v>568</v>
      </c>
      <c r="D63" s="11" t="s">
        <v>569</v>
      </c>
      <c r="E63" s="11" t="s">
        <v>570</v>
      </c>
      <c r="F63" s="11" t="s">
        <v>571</v>
      </c>
      <c r="G63" s="11" t="s">
        <v>572</v>
      </c>
      <c r="H63" s="11" t="s">
        <v>573</v>
      </c>
      <c r="I63" s="11" t="s">
        <v>574</v>
      </c>
      <c r="J63" s="11" t="s">
        <v>590</v>
      </c>
      <c r="K63" s="11" t="s">
        <v>591</v>
      </c>
      <c r="L63" s="11" t="s">
        <v>592</v>
      </c>
    </row>
    <row r="64" customFormat="false" ht="15" hidden="false" customHeight="false" outlineLevel="0" collapsed="false">
      <c r="A64" s="6" t="s">
        <v>217</v>
      </c>
      <c r="B64" s="6" t="s">
        <v>621</v>
      </c>
      <c r="C64" s="33" t="n">
        <v>42640.5</v>
      </c>
      <c r="D64" s="33" t="n">
        <v>50526.8</v>
      </c>
      <c r="E64" s="33" t="n">
        <v>65793.6</v>
      </c>
      <c r="F64" s="33" t="n">
        <v>73399</v>
      </c>
      <c r="G64" s="33" t="n">
        <v>67155.3</v>
      </c>
      <c r="H64" s="33" t="n">
        <v>67379.1</v>
      </c>
      <c r="I64" s="33" t="n">
        <v>70415.7</v>
      </c>
      <c r="J64" s="33" t="n">
        <v>76083.6</v>
      </c>
      <c r="K64" s="33" t="n">
        <v>78654</v>
      </c>
      <c r="L64" s="33" t="n">
        <v>83077.6</v>
      </c>
    </row>
    <row r="65" customFormat="false" ht="15" hidden="false" customHeight="false" outlineLevel="0" collapsed="false">
      <c r="A65" s="6" t="s">
        <v>594</v>
      </c>
      <c r="B65" s="6" t="s">
        <v>621</v>
      </c>
      <c r="C65" s="33" t="n">
        <v>38154.4</v>
      </c>
      <c r="D65" s="33" t="n">
        <v>44929.2</v>
      </c>
      <c r="E65" s="33" t="n">
        <v>58602.4</v>
      </c>
      <c r="F65" s="33" t="n">
        <v>66852.7</v>
      </c>
      <c r="G65" s="33" t="n">
        <v>61882.1</v>
      </c>
      <c r="H65" s="33" t="n">
        <v>62168.3</v>
      </c>
      <c r="I65" s="33" t="n">
        <v>64619.9</v>
      </c>
      <c r="J65" s="33"/>
      <c r="K65" s="33"/>
      <c r="L65" s="33"/>
    </row>
    <row r="66" customFormat="false" ht="15" hidden="false" customHeight="false" outlineLevel="0" collapsed="false">
      <c r="A66" s="6" t="s">
        <v>595</v>
      </c>
      <c r="B66" s="6" t="s">
        <v>621</v>
      </c>
      <c r="C66" s="42" t="n">
        <f aca="false">C64-C65</f>
        <v>4486.1</v>
      </c>
      <c r="D66" s="42" t="n">
        <f aca="false">D64-D65</f>
        <v>5597.60000000001</v>
      </c>
      <c r="E66" s="42" t="n">
        <f aca="false">E64-E65</f>
        <v>7191.2</v>
      </c>
      <c r="F66" s="42" t="n">
        <f aca="false">F64-F65</f>
        <v>6546.3</v>
      </c>
      <c r="G66" s="42" t="n">
        <f aca="false">G64-G65</f>
        <v>5273.2</v>
      </c>
      <c r="H66" s="42" t="n">
        <f aca="false">H64-H65</f>
        <v>5210.8</v>
      </c>
      <c r="I66" s="42" t="n">
        <f aca="false">I64-I65</f>
        <v>5795.8</v>
      </c>
      <c r="J66" s="6"/>
      <c r="K66" s="33" t="n">
        <v>6386.7</v>
      </c>
      <c r="L66" s="33" t="n">
        <v>6845.6</v>
      </c>
    </row>
    <row r="67" customFormat="false" ht="15" hidden="false" customHeight="false" outlineLevel="0" collapsed="false">
      <c r="A67" s="6" t="s">
        <v>596</v>
      </c>
      <c r="B67" s="6" t="s">
        <v>621</v>
      </c>
      <c r="C67" s="33" t="n">
        <v>1866.6</v>
      </c>
      <c r="D67" s="33" t="n">
        <v>2215.6</v>
      </c>
      <c r="E67" s="33" t="n">
        <v>2701.6</v>
      </c>
      <c r="F67" s="33" t="n">
        <v>3190.2</v>
      </c>
      <c r="G67" s="33" t="n">
        <v>2179.4</v>
      </c>
      <c r="H67" s="33" t="n">
        <v>2526.3</v>
      </c>
      <c r="I67" s="33" t="n">
        <v>2243.8</v>
      </c>
      <c r="J67" s="33"/>
      <c r="K67" s="33" t="n">
        <v>2662.3</v>
      </c>
      <c r="L67" s="33" t="n">
        <v>2854.9</v>
      </c>
    </row>
    <row r="68" customFormat="false" ht="15" hidden="false" customHeight="false" outlineLevel="0" collapsed="false">
      <c r="A68" s="6" t="s">
        <v>597</v>
      </c>
      <c r="B68" s="6" t="s">
        <v>621</v>
      </c>
      <c r="C68" s="33" t="n">
        <v>922.7</v>
      </c>
      <c r="D68" s="33" t="n">
        <v>651.1</v>
      </c>
      <c r="E68" s="33" t="n">
        <v>588.4</v>
      </c>
      <c r="F68" s="33" t="n">
        <v>872.1</v>
      </c>
      <c r="G68" s="33" t="n">
        <v>1251.5</v>
      </c>
      <c r="H68" s="33" t="n">
        <v>1266.7</v>
      </c>
      <c r="I68" s="33" t="n">
        <v>1077.4</v>
      </c>
      <c r="J68" s="33"/>
      <c r="K68" s="33"/>
      <c r="L68" s="33"/>
    </row>
    <row r="69" customFormat="false" ht="15" hidden="false" customHeight="false" outlineLevel="0" collapsed="false">
      <c r="A69" s="6" t="s">
        <v>598</v>
      </c>
      <c r="B69" s="6" t="s">
        <v>621</v>
      </c>
      <c r="C69" s="33" t="n">
        <v>1595.3</v>
      </c>
      <c r="D69" s="33" t="n">
        <v>2363.2</v>
      </c>
      <c r="E69" s="33" t="n">
        <v>2740.8</v>
      </c>
      <c r="F69" s="33" t="n">
        <v>2920.9</v>
      </c>
      <c r="G69" s="33" t="n">
        <v>1757</v>
      </c>
      <c r="H69" s="33" t="n">
        <v>1900.1</v>
      </c>
      <c r="I69" s="33" t="n">
        <v>1818.9</v>
      </c>
      <c r="J69" s="33"/>
      <c r="K69" s="33" t="n">
        <v>2319.7</v>
      </c>
      <c r="L69" s="33" t="n">
        <v>2488.4</v>
      </c>
    </row>
    <row r="70" customFormat="false" ht="15" hidden="false" customHeight="false" outlineLevel="0" collapsed="false">
      <c r="A70" s="6" t="s">
        <v>599</v>
      </c>
      <c r="B70" s="6" t="s">
        <v>621</v>
      </c>
      <c r="C70" s="33" t="n">
        <v>7970.2</v>
      </c>
      <c r="D70" s="33" t="n">
        <v>9436.2</v>
      </c>
      <c r="E70" s="33" t="n">
        <v>11738.7</v>
      </c>
      <c r="F70" s="33" t="n">
        <v>13230.1</v>
      </c>
      <c r="G70" s="33" t="n">
        <v>11801.7</v>
      </c>
      <c r="H70" s="33" t="n">
        <v>12989.3</v>
      </c>
      <c r="I70" s="33" t="n">
        <v>14652.6</v>
      </c>
      <c r="J70" s="33"/>
      <c r="K70" s="33"/>
      <c r="L70" s="33"/>
    </row>
    <row r="71" customFormat="false" ht="15" hidden="false" customHeight="false" outlineLevel="0" collapsed="false">
      <c r="A71" s="6" t="s">
        <v>600</v>
      </c>
      <c r="B71" s="6" t="s">
        <v>621</v>
      </c>
      <c r="C71" s="33" t="n">
        <v>4361.4</v>
      </c>
      <c r="D71" s="33" t="n">
        <v>6214.9</v>
      </c>
      <c r="E71" s="33" t="n">
        <v>6668.4</v>
      </c>
      <c r="F71" s="33" t="n">
        <v>6084.6</v>
      </c>
      <c r="G71" s="33" t="n">
        <v>8436.2</v>
      </c>
      <c r="H71" s="33" t="n">
        <v>7374.9</v>
      </c>
      <c r="I71" s="33" t="n">
        <v>7657.7</v>
      </c>
      <c r="J71" s="33"/>
      <c r="K71" s="33"/>
      <c r="L71" s="33"/>
    </row>
    <row r="72" customFormat="false" ht="15" hidden="false" customHeight="false" outlineLevel="0" collapsed="false">
      <c r="A72" s="6" t="s">
        <v>601</v>
      </c>
      <c r="B72" s="6" t="s">
        <v>621</v>
      </c>
      <c r="C72" s="33" t="n">
        <v>4251.6</v>
      </c>
      <c r="D72" s="33" t="n">
        <v>5277.9</v>
      </c>
      <c r="E72" s="33" t="n">
        <v>6833.4</v>
      </c>
      <c r="F72" s="33" t="n">
        <v>6549</v>
      </c>
      <c r="G72" s="33" t="n">
        <v>6384.5</v>
      </c>
      <c r="H72" s="33" t="n">
        <v>7553.2</v>
      </c>
      <c r="I72" s="33" t="n">
        <v>7351.2</v>
      </c>
      <c r="J72" s="33"/>
      <c r="K72" s="33"/>
      <c r="L72" s="33"/>
    </row>
    <row r="73" customFormat="false" ht="15" hidden="false" customHeight="false" outlineLevel="0" collapsed="false">
      <c r="A73" s="6" t="s">
        <v>602</v>
      </c>
      <c r="B73" s="6" t="s">
        <v>621</v>
      </c>
      <c r="C73" s="33" t="n">
        <v>11945.5</v>
      </c>
      <c r="D73" s="33" t="n">
        <v>13439.8</v>
      </c>
      <c r="E73" s="33" t="n">
        <v>14830.6</v>
      </c>
      <c r="F73" s="33" t="n">
        <v>15415.8</v>
      </c>
      <c r="G73" s="33" t="n">
        <v>16310.1</v>
      </c>
      <c r="H73" s="33" t="n">
        <v>16161.6</v>
      </c>
      <c r="I73" s="33" t="n">
        <v>16897.6</v>
      </c>
      <c r="J73" s="33"/>
      <c r="K73" s="33"/>
      <c r="L73" s="33"/>
    </row>
    <row r="74" customFormat="false" ht="15" hidden="false" customHeight="false" outlineLevel="0" collapsed="false">
      <c r="A74" s="6" t="s">
        <v>603</v>
      </c>
      <c r="B74" s="6" t="s">
        <v>621</v>
      </c>
      <c r="C74" s="33" t="n">
        <v>3791.5</v>
      </c>
      <c r="D74" s="33" t="n">
        <v>3868</v>
      </c>
      <c r="E74" s="33" t="n">
        <v>3819.1</v>
      </c>
      <c r="F74" s="33" t="n">
        <v>3832.2</v>
      </c>
      <c r="G74" s="33" t="n">
        <v>3725.2</v>
      </c>
      <c r="H74" s="33" t="n">
        <v>3619.4</v>
      </c>
      <c r="I74" s="33" t="n">
        <v>5507</v>
      </c>
      <c r="J74" s="33"/>
      <c r="K74" s="33"/>
      <c r="L74" s="33"/>
    </row>
    <row r="75" customFormat="false" ht="15" hidden="false" customHeight="false" outlineLevel="0" collapsed="false">
      <c r="A75" s="6" t="s">
        <v>604</v>
      </c>
      <c r="B75" s="6" t="s">
        <v>621</v>
      </c>
      <c r="C75" s="33" t="n">
        <v>1293.4</v>
      </c>
      <c r="D75" s="33" t="n">
        <v>1534.1</v>
      </c>
      <c r="E75" s="33" t="n">
        <v>1890.4</v>
      </c>
      <c r="F75" s="33" t="n">
        <v>2402.5</v>
      </c>
      <c r="G75" s="33" t="n">
        <v>1524.8</v>
      </c>
      <c r="H75" s="33" t="n">
        <v>1169.8</v>
      </c>
      <c r="I75" s="33" t="n">
        <v>1410.9</v>
      </c>
      <c r="J75" s="33"/>
      <c r="K75" s="33"/>
      <c r="L75" s="33"/>
    </row>
    <row r="76" customFormat="false" ht="15" hidden="false" customHeight="false" outlineLevel="0" collapsed="false">
      <c r="A76" s="6" t="s">
        <v>605</v>
      </c>
      <c r="B76" s="6" t="s">
        <v>621</v>
      </c>
      <c r="C76" s="33" t="n">
        <v>878.4</v>
      </c>
      <c r="D76" s="33" t="n">
        <v>1058</v>
      </c>
      <c r="E76" s="33" t="n">
        <v>1146.7</v>
      </c>
      <c r="F76" s="33" t="n">
        <v>1153.4</v>
      </c>
      <c r="G76" s="33" t="n">
        <v>1219.5</v>
      </c>
      <c r="H76" s="33" t="n">
        <v>1298.8</v>
      </c>
      <c r="I76" s="33" t="n">
        <v>1387.9</v>
      </c>
      <c r="J76" s="33"/>
      <c r="K76" s="33"/>
      <c r="L76" s="33"/>
    </row>
    <row r="77" customFormat="false" ht="15" hidden="false" customHeight="false" outlineLevel="0" collapsed="false">
      <c r="A77" s="6" t="s">
        <v>606</v>
      </c>
      <c r="B77" s="6" t="s">
        <v>621</v>
      </c>
      <c r="C77" s="33" t="n">
        <v>3479.1</v>
      </c>
      <c r="D77" s="33" t="n">
        <v>726.2</v>
      </c>
      <c r="E77" s="33" t="n">
        <v>51.1</v>
      </c>
      <c r="F77" s="33" t="n">
        <v>2149.5</v>
      </c>
      <c r="G77" s="33" t="n">
        <v>4000.2</v>
      </c>
      <c r="H77" s="33" t="n">
        <v>1441.1</v>
      </c>
      <c r="I77" s="33" t="n">
        <v>2386.2</v>
      </c>
      <c r="J77" s="33"/>
      <c r="K77" s="33"/>
      <c r="L77" s="33"/>
    </row>
    <row r="78" customFormat="false" ht="15" hidden="false" customHeight="false" outlineLevel="0" collapsed="false">
      <c r="A78" s="6" t="s">
        <v>607</v>
      </c>
      <c r="B78" s="6" t="s">
        <v>621</v>
      </c>
      <c r="C78" s="33" t="n">
        <v>-1813.2</v>
      </c>
      <c r="D78" s="33" t="n">
        <v>-1977.1</v>
      </c>
      <c r="E78" s="33" t="n">
        <v>-2527.3</v>
      </c>
      <c r="F78" s="33" t="n">
        <v>-2483</v>
      </c>
      <c r="G78" s="33" t="n">
        <v>-2210.5</v>
      </c>
      <c r="H78" s="33" t="n">
        <v>-1571.9</v>
      </c>
      <c r="I78" s="33" t="n">
        <v>-1081</v>
      </c>
      <c r="J78" s="33"/>
      <c r="K78" s="33"/>
      <c r="L78" s="33"/>
    </row>
    <row r="79" customFormat="false" ht="15" hidden="false" customHeight="false" outlineLevel="0" collapsed="false">
      <c r="A79" s="6" t="s">
        <v>608</v>
      </c>
      <c r="B79" s="6" t="s">
        <v>621</v>
      </c>
      <c r="C79" s="33" t="n">
        <v>-461.8</v>
      </c>
      <c r="D79" s="33" t="n">
        <v>-618.6</v>
      </c>
      <c r="E79" s="33" t="n">
        <v>-968.3</v>
      </c>
      <c r="F79" s="33" t="n">
        <v>-755.4</v>
      </c>
      <c r="G79" s="33" t="n">
        <v>-795</v>
      </c>
      <c r="H79" s="33" t="n">
        <v>-796.3</v>
      </c>
      <c r="I79" s="33" t="n">
        <v>-663.3</v>
      </c>
      <c r="J79" s="33"/>
      <c r="K79" s="33"/>
      <c r="L79" s="33"/>
    </row>
    <row r="80" customFormat="false" ht="15" hidden="false" customHeight="false" outlineLevel="0" collapsed="false">
      <c r="A80" s="70" t="s">
        <v>609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customFormat="false" ht="15" hidden="false" customHeight="false" outlineLevel="0" collapsed="false">
      <c r="A81" s="6" t="s">
        <v>610</v>
      </c>
      <c r="B81" s="6"/>
      <c r="C81" s="6"/>
      <c r="D81" s="34" t="n">
        <f aca="false">D64/C64-1</f>
        <v>0.1849485817474</v>
      </c>
      <c r="E81" s="34" t="n">
        <f aca="false">E64/D64-1</f>
        <v>0.30215252103834</v>
      </c>
      <c r="F81" s="34" t="n">
        <f aca="false">F64/E64-1</f>
        <v>0.115594829892269</v>
      </c>
      <c r="G81" s="34" t="n">
        <f aca="false">G64/F64-1</f>
        <v>-0.0850651916238641</v>
      </c>
      <c r="H81" s="34" t="n">
        <f aca="false">H64/G64-1</f>
        <v>0.00333257389960284</v>
      </c>
      <c r="I81" s="34" t="n">
        <f aca="false">I64/H64-1</f>
        <v>0.0450673873649246</v>
      </c>
      <c r="J81" s="6"/>
      <c r="K81" s="6"/>
      <c r="L81" s="6"/>
      <c r="M81" s="6"/>
      <c r="N81" s="6"/>
    </row>
    <row r="82" customFormat="false" ht="15" hidden="false" customHeight="false" outlineLevel="0" collapsed="false">
      <c r="A82" s="6" t="s">
        <v>611</v>
      </c>
      <c r="B82" s="6"/>
      <c r="C82" s="34" t="n">
        <f aca="false">C66/C64</f>
        <v>0.105207490531302</v>
      </c>
      <c r="D82" s="34" t="n">
        <f aca="false">D66/D64</f>
        <v>0.110784771645939</v>
      </c>
      <c r="E82" s="34" t="n">
        <f aca="false">E66/E64</f>
        <v>0.109299384742589</v>
      </c>
      <c r="F82" s="34" t="n">
        <f aca="false">F66/F64</f>
        <v>0.0891878635948719</v>
      </c>
      <c r="G82" s="34" t="n">
        <f aca="false">G66/G64</f>
        <v>0.0785224695593647</v>
      </c>
      <c r="H82" s="34" t="n">
        <f aca="false">H66/H64</f>
        <v>0.0773355536063854</v>
      </c>
      <c r="I82" s="34" t="n">
        <f aca="false">I66/I64</f>
        <v>0.0823083488483392</v>
      </c>
      <c r="J82" s="6"/>
      <c r="K82" s="34" t="n">
        <f aca="false">K66/K64</f>
        <v>0.0811999389732245</v>
      </c>
      <c r="L82" s="34" t="n">
        <f aca="false">L66/L64</f>
        <v>0.0824000693327684</v>
      </c>
      <c r="M82" s="6"/>
      <c r="N82" s="6"/>
    </row>
    <row r="83" customFormat="false" ht="15" hidden="false" customHeight="false" outlineLevel="0" collapsed="false">
      <c r="A83" s="6" t="s">
        <v>612</v>
      </c>
      <c r="B83" s="6"/>
      <c r="C83" s="34" t="n">
        <f aca="false">C67/C64</f>
        <v>0.043775284060928</v>
      </c>
      <c r="D83" s="34" t="n">
        <f aca="false">D67/D64</f>
        <v>0.0438499964375341</v>
      </c>
      <c r="E83" s="34" t="n">
        <f aca="false">E67/E64</f>
        <v>0.0410617446073782</v>
      </c>
      <c r="F83" s="34" t="n">
        <f aca="false">F67/F64</f>
        <v>0.0434638074088203</v>
      </c>
      <c r="G83" s="34" t="n">
        <f aca="false">G67/G64</f>
        <v>0.0324531347488582</v>
      </c>
      <c r="H83" s="34" t="n">
        <f aca="false">H67/H64</f>
        <v>0.0374938222683295</v>
      </c>
      <c r="I83" s="34" t="n">
        <f aca="false">I67/I64</f>
        <v>0.0318650528220269</v>
      </c>
      <c r="J83" s="6"/>
      <c r="K83" s="34" t="n">
        <f aca="false">K67/K64</f>
        <v>0.0338482467515956</v>
      </c>
      <c r="L83" s="34" t="n">
        <f aca="false">L67/L64</f>
        <v>0.0343642570319797</v>
      </c>
      <c r="M83" s="6"/>
      <c r="N83" s="6"/>
    </row>
    <row r="84" customFormat="false" ht="15" hidden="false" customHeight="false" outlineLevel="0" collapsed="false">
      <c r="A84" s="6" t="s">
        <v>613</v>
      </c>
      <c r="B84" s="6"/>
      <c r="C84" s="28" t="n">
        <f aca="false">C67/C68</f>
        <v>2.02297604855316</v>
      </c>
      <c r="D84" s="28" t="n">
        <f aca="false">D67/D68</f>
        <v>3.40285670403932</v>
      </c>
      <c r="E84" s="28" t="n">
        <f aca="false">E67/E68</f>
        <v>4.59143439836846</v>
      </c>
      <c r="F84" s="28" t="n">
        <f aca="false">F67/F68</f>
        <v>3.65806673546612</v>
      </c>
      <c r="G84" s="28" t="n">
        <f aca="false">G67/G68</f>
        <v>1.74143028365961</v>
      </c>
      <c r="H84" s="28" t="n">
        <f aca="false">H67/H68</f>
        <v>1.99439488434515</v>
      </c>
      <c r="I84" s="28" t="n">
        <f aca="false">I67/I68</f>
        <v>2.08260627436421</v>
      </c>
      <c r="J84" s="6"/>
      <c r="K84" s="6"/>
      <c r="L84" s="6"/>
      <c r="M84" s="6"/>
      <c r="N84" s="6"/>
    </row>
    <row r="85" customFormat="false" ht="15" hidden="false" customHeight="false" outlineLevel="0" collapsed="false">
      <c r="A85" s="6" t="s">
        <v>614</v>
      </c>
      <c r="B85" s="6"/>
      <c r="C85" s="42" t="n">
        <f aca="false">C70/C65*365</f>
        <v>76.2460686054557</v>
      </c>
      <c r="D85" s="42" t="n">
        <f aca="false">D70/D65*365</f>
        <v>76.6586763174061</v>
      </c>
      <c r="E85" s="42" t="n">
        <f aca="false">E70/E65*365</f>
        <v>73.1134817004082</v>
      </c>
      <c r="F85" s="42" t="n">
        <f aca="false">F70/F65*365</f>
        <v>72.2332306698159</v>
      </c>
      <c r="G85" s="42" t="n">
        <f aca="false">G70/G65*365</f>
        <v>69.6101215052495</v>
      </c>
      <c r="H85" s="42" t="n">
        <f aca="false">H70/H65*365</f>
        <v>76.2622510186059</v>
      </c>
      <c r="I85" s="42" t="n">
        <f aca="false">I70/I65*365</f>
        <v>82.7639628040279</v>
      </c>
      <c r="J85" s="6"/>
      <c r="K85" s="6"/>
      <c r="L85" s="6"/>
      <c r="M85" s="6"/>
      <c r="N85" s="6"/>
    </row>
    <row r="86" customFormat="false" ht="15" hidden="false" customHeight="false" outlineLevel="0" collapsed="false">
      <c r="A86" s="6" t="s">
        <v>615</v>
      </c>
      <c r="B86" s="6"/>
      <c r="C86" s="42" t="n">
        <f aca="false">C77+C78</f>
        <v>1665.9</v>
      </c>
      <c r="D86" s="42" t="n">
        <f aca="false">D77+D78</f>
        <v>-1250.9</v>
      </c>
      <c r="E86" s="42" t="n">
        <f aca="false">E77+E78</f>
        <v>-2476.2</v>
      </c>
      <c r="F86" s="42" t="n">
        <f aca="false">F77+F78</f>
        <v>-333.5</v>
      </c>
      <c r="G86" s="42" t="n">
        <f aca="false">G77+G78</f>
        <v>1789.7</v>
      </c>
      <c r="H86" s="42" t="n">
        <f aca="false">H77+H78</f>
        <v>-130.8</v>
      </c>
      <c r="I86" s="42" t="n">
        <f aca="false">I77+I78</f>
        <v>1305.2</v>
      </c>
      <c r="J86" s="6"/>
      <c r="K86" s="6"/>
      <c r="L86" s="6"/>
      <c r="M86" s="6"/>
      <c r="N86" s="6"/>
    </row>
    <row r="87" customFormat="false" ht="15" hidden="false" customHeight="false" outlineLevel="0" collapsed="false">
      <c r="A87" s="6" t="s">
        <v>616</v>
      </c>
      <c r="B87" s="6"/>
      <c r="C87" s="28" t="n">
        <f aca="false">IFERROR(-C86/C79,0)</f>
        <v>3.60740580337809</v>
      </c>
      <c r="D87" s="28" t="n">
        <f aca="false">IFERROR(-D86/D79,0)</f>
        <v>-2.02214678305852</v>
      </c>
      <c r="E87" s="28" t="n">
        <f aca="false">IFERROR(-E86/E79,0)</f>
        <v>-2.55726531033771</v>
      </c>
      <c r="F87" s="28" t="n">
        <f aca="false">IFERROR(-F86/F79,0)</f>
        <v>-0.441487953402171</v>
      </c>
      <c r="G87" s="28" t="n">
        <f aca="false">IFERROR(-G86/G79,0)</f>
        <v>2.25119496855346</v>
      </c>
      <c r="H87" s="28" t="n">
        <f aca="false">IFERROR(-H86/H79,0)</f>
        <v>-0.164259701117669</v>
      </c>
      <c r="I87" s="28" t="n">
        <f aca="false">IFERROR(-I86/I79,0)</f>
        <v>1.96773707221468</v>
      </c>
      <c r="J87" s="6"/>
      <c r="K87" s="6"/>
      <c r="L87" s="6"/>
      <c r="M87" s="6"/>
      <c r="N87" s="6"/>
    </row>
    <row r="88" customFormat="false" ht="15" hidden="false" customHeight="false" outlineLevel="0" collapsed="false">
      <c r="A88" s="6" t="s">
        <v>617</v>
      </c>
      <c r="B88" s="6"/>
      <c r="C88" s="34" t="n">
        <f aca="false">-C78/C64</f>
        <v>0.0425229535300946</v>
      </c>
      <c r="D88" s="34" t="n">
        <f aca="false">-D78/D64</f>
        <v>0.0391297291734288</v>
      </c>
      <c r="E88" s="34" t="n">
        <f aca="false">-E78/E64</f>
        <v>0.038412550764816</v>
      </c>
      <c r="F88" s="34" t="n">
        <f aca="false">-F78/F64</f>
        <v>0.0338287987574763</v>
      </c>
      <c r="G88" s="34" t="n">
        <f aca="false">-G78/G64</f>
        <v>0.0329162404158719</v>
      </c>
      <c r="H88" s="34" t="n">
        <f aca="false">-H78/H64</f>
        <v>0.0233291925834569</v>
      </c>
      <c r="I88" s="34" t="n">
        <f aca="false">-I78/I64</f>
        <v>0.0153516900350348</v>
      </c>
      <c r="J88" s="6"/>
      <c r="K88" s="6"/>
      <c r="L88" s="6"/>
      <c r="M88" s="6"/>
      <c r="N88" s="6"/>
    </row>
    <row r="91" customFormat="false" ht="42" hidden="false" customHeight="true" outlineLevel="0" collapsed="false">
      <c r="A91" s="38" t="s">
        <v>622</v>
      </c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</row>
  </sheetData>
  <mergeCells count="1">
    <mergeCell ref="A91:L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623</v>
      </c>
    </row>
    <row r="2" customFormat="false" ht="15" hidden="false" customHeight="false" outlineLevel="0" collapsed="false">
      <c r="A2" s="2" t="s">
        <v>624</v>
      </c>
    </row>
    <row r="4" customFormat="false" ht="15" hidden="false" customHeight="false" outlineLevel="0" collapsed="false">
      <c r="A4" s="11" t="s">
        <v>339</v>
      </c>
      <c r="B4" s="11" t="s">
        <v>564</v>
      </c>
      <c r="C4" s="11" t="s">
        <v>583</v>
      </c>
      <c r="D4" s="11" t="s">
        <v>584</v>
      </c>
    </row>
    <row r="5" customFormat="false" ht="15" hidden="false" customHeight="false" outlineLevel="0" collapsed="false">
      <c r="A5" s="6" t="s">
        <v>625</v>
      </c>
      <c r="B5" s="25" t="n">
        <v>3.47</v>
      </c>
      <c r="C5" s="25" t="n">
        <v>78.89</v>
      </c>
      <c r="D5" s="25" t="n">
        <v>4829</v>
      </c>
    </row>
    <row r="6" customFormat="false" ht="15" hidden="false" customHeight="false" outlineLevel="0" collapsed="false">
      <c r="A6" s="6" t="s">
        <v>626</v>
      </c>
      <c r="B6" s="24" t="n">
        <v>-0.0114</v>
      </c>
      <c r="C6" s="24" t="n">
        <v>0.0206</v>
      </c>
      <c r="D6" s="24" t="n">
        <v>0.0252</v>
      </c>
    </row>
    <row r="7" customFormat="false" ht="15" hidden="false" customHeight="false" outlineLevel="0" collapsed="false">
      <c r="A7" s="6" t="s">
        <v>627</v>
      </c>
      <c r="B7" s="25" t="n">
        <v>4.02</v>
      </c>
      <c r="C7" s="25" t="n">
        <v>87.09</v>
      </c>
      <c r="D7" s="25" t="n">
        <v>5525</v>
      </c>
    </row>
    <row r="8" customFormat="false" ht="15" hidden="false" customHeight="false" outlineLevel="0" collapsed="false">
      <c r="A8" s="6" t="s">
        <v>628</v>
      </c>
      <c r="B8" s="25" t="n">
        <v>2.88</v>
      </c>
      <c r="C8" s="25" t="n">
        <v>70.29</v>
      </c>
      <c r="D8" s="25" t="n">
        <v>4068</v>
      </c>
    </row>
    <row r="9" customFormat="false" ht="15" hidden="false" customHeight="false" outlineLevel="0" collapsed="false">
      <c r="A9" s="6" t="s">
        <v>629</v>
      </c>
      <c r="B9" s="24" t="n">
        <v>0.1266</v>
      </c>
      <c r="C9" s="24" t="n">
        <v>0.0019</v>
      </c>
      <c r="D9" s="24" t="n">
        <v>-0.0063</v>
      </c>
    </row>
    <row r="10" customFormat="false" ht="15" hidden="false" customHeight="false" outlineLevel="0" collapsed="false">
      <c r="A10" s="6" t="s">
        <v>630</v>
      </c>
      <c r="B10" s="55" t="n">
        <v>21667.6</v>
      </c>
      <c r="C10" s="55" t="n">
        <v>203261.7</v>
      </c>
      <c r="D10" s="55" t="n">
        <v>104032.5</v>
      </c>
    </row>
    <row r="11" customFormat="false" ht="15" hidden="false" customHeight="false" outlineLevel="0" collapsed="false">
      <c r="A11" s="6" t="s">
        <v>631</v>
      </c>
      <c r="B11" s="25" t="n">
        <v>11.82</v>
      </c>
      <c r="C11" s="25" t="n">
        <v>27.28</v>
      </c>
      <c r="D11" s="25" t="n">
        <v>22.58</v>
      </c>
    </row>
    <row r="12" customFormat="false" ht="15" hidden="false" customHeight="false" outlineLevel="0" collapsed="false">
      <c r="A12" s="6" t="s">
        <v>632</v>
      </c>
      <c r="B12" s="25" t="n">
        <v>10.74</v>
      </c>
      <c r="C12" s="25" t="n">
        <v>17.7</v>
      </c>
      <c r="D12" s="25" t="n">
        <v>17.5</v>
      </c>
    </row>
    <row r="13" customFormat="false" ht="15" hidden="false" customHeight="false" outlineLevel="0" collapsed="false">
      <c r="A13" s="6" t="s">
        <v>633</v>
      </c>
      <c r="B13" s="25" t="n">
        <v>0.23</v>
      </c>
      <c r="C13" s="25" t="n">
        <v>2.89</v>
      </c>
      <c r="D13" s="25" t="n">
        <v>2.52</v>
      </c>
    </row>
    <row r="14" customFormat="false" ht="15" hidden="false" customHeight="false" outlineLevel="0" collapsed="false">
      <c r="A14" s="6" t="s">
        <v>634</v>
      </c>
      <c r="B14" s="25" t="n">
        <v>0.25</v>
      </c>
      <c r="C14" s="25" t="n">
        <v>4.46</v>
      </c>
      <c r="D14" s="25" t="n">
        <v>3.26</v>
      </c>
    </row>
    <row r="15" customFormat="false" ht="15" hidden="false" customHeight="false" outlineLevel="0" collapsed="false">
      <c r="A15" s="6" t="s">
        <v>635</v>
      </c>
      <c r="B15" s="25" t="n">
        <v>2.71</v>
      </c>
      <c r="C15" s="25" t="n">
        <v>3.47</v>
      </c>
      <c r="D15" s="25" t="n">
        <v>3.9</v>
      </c>
    </row>
    <row r="16" customFormat="false" ht="15" hidden="false" customHeight="false" outlineLevel="0" collapsed="false">
      <c r="A16" s="6" t="s">
        <v>636</v>
      </c>
      <c r="B16" s="24" t="n">
        <v>0.0432</v>
      </c>
      <c r="C16" s="24" t="n">
        <v>0.0393</v>
      </c>
      <c r="D16" s="24" t="n">
        <v>0.033</v>
      </c>
    </row>
    <row r="17" customFormat="false" ht="15" hidden="false" customHeight="false" outlineLevel="0" collapsed="false">
      <c r="A17" s="6" t="s">
        <v>637</v>
      </c>
      <c r="B17" s="24" t="n">
        <v>-0.0606</v>
      </c>
      <c r="C17" s="24" t="n">
        <v>0.0242</v>
      </c>
      <c r="D17" s="24" t="n">
        <v>-0.0033</v>
      </c>
    </row>
    <row r="18" customFormat="false" ht="15" hidden="false" customHeight="false" outlineLevel="0" collapsed="false">
      <c r="A18" s="6" t="s">
        <v>638</v>
      </c>
      <c r="B18" s="24" t="n">
        <v>0.2447</v>
      </c>
      <c r="C18" s="24" t="n">
        <v>0.0781</v>
      </c>
      <c r="D18" s="24" t="n">
        <v>0.0338</v>
      </c>
    </row>
    <row r="19" customFormat="false" ht="15" hidden="false" customHeight="false" outlineLevel="0" collapsed="false">
      <c r="A19" s="6" t="s">
        <v>639</v>
      </c>
      <c r="B19" s="25" t="n">
        <v>0.6</v>
      </c>
      <c r="C19" s="25" t="n">
        <v>0.86</v>
      </c>
      <c r="D19" s="25" t="n">
        <v>0.62</v>
      </c>
    </row>
    <row r="20" customFormat="false" ht="15" hidden="false" customHeight="false" outlineLevel="0" collapsed="false">
      <c r="A20" s="6" t="s">
        <v>640</v>
      </c>
      <c r="B20" s="55" t="n">
        <v>100000</v>
      </c>
      <c r="C20" s="55" t="n">
        <v>271000</v>
      </c>
      <c r="D20" s="55" t="n">
        <v>118000</v>
      </c>
    </row>
    <row r="21" customFormat="false" ht="15" hidden="false" customHeight="false" outlineLevel="0" collapsed="false">
      <c r="A21" s="6" t="s">
        <v>641</v>
      </c>
      <c r="B21" s="25" t="n">
        <v>4.87</v>
      </c>
      <c r="C21" s="25" t="n">
        <v>129.5</v>
      </c>
      <c r="D21" s="25" t="n">
        <v>5472</v>
      </c>
    </row>
    <row r="22" customFormat="false" ht="15" hidden="false" customHeight="false" outlineLevel="0" collapsed="false">
      <c r="A22" s="6" t="s">
        <v>642</v>
      </c>
      <c r="B22" s="25" t="n">
        <v>2.85</v>
      </c>
      <c r="C22" s="25" t="n">
        <v>71</v>
      </c>
      <c r="D22" s="25" t="n">
        <v>4078</v>
      </c>
    </row>
    <row r="23" customFormat="false" ht="15" hidden="false" customHeight="false" outlineLevel="0" collapsed="false">
      <c r="A23" s="6" t="s">
        <v>643</v>
      </c>
      <c r="B23" s="25" t="n">
        <v>3.62</v>
      </c>
      <c r="C23" s="25" t="n">
        <v>96.07</v>
      </c>
      <c r="D23" s="25" t="n">
        <v>4690.64</v>
      </c>
    </row>
    <row r="24" customFormat="false" ht="15" hidden="false" customHeight="false" outlineLevel="0" collapsed="false">
      <c r="A24" s="6" t="s">
        <v>644</v>
      </c>
      <c r="B24" s="24" t="n">
        <v>-0.1895</v>
      </c>
      <c r="C24" s="24" t="n">
        <v>-0.3238</v>
      </c>
      <c r="D24" s="24" t="n">
        <v>-0.0008</v>
      </c>
    </row>
    <row r="25" customFormat="false" ht="15" hidden="false" customHeight="false" outlineLevel="0" collapsed="false">
      <c r="A25" s="6" t="s">
        <v>645</v>
      </c>
      <c r="B25" s="25" t="n">
        <v>20.5669</v>
      </c>
      <c r="C25" s="25" t="n">
        <v>20.8245</v>
      </c>
      <c r="D25" s="25" t="n">
        <v>19.7499</v>
      </c>
    </row>
    <row r="26" customFormat="false" ht="15" hidden="false" customHeight="false" outlineLevel="0" collapsed="false">
      <c r="A26" s="6" t="s">
        <v>646</v>
      </c>
      <c r="B26" s="25" t="n">
        <v>21.6096</v>
      </c>
      <c r="C26" s="25" t="n">
        <v>23.9151</v>
      </c>
      <c r="D26" s="25" t="n">
        <v>23.1949</v>
      </c>
    </row>
    <row r="28" customFormat="false" ht="15" hidden="false" customHeight="false" outlineLevel="0" collapsed="false">
      <c r="A28" s="3" t="s">
        <v>647</v>
      </c>
      <c r="B28" s="4"/>
      <c r="C28" s="4"/>
      <c r="D28" s="4"/>
    </row>
    <row r="29" customFormat="false" ht="15" hidden="false" customHeight="false" outlineLevel="0" collapsed="false">
      <c r="A29" s="6" t="s">
        <v>648</v>
      </c>
      <c r="B29" s="33" t="n">
        <v>4666</v>
      </c>
    </row>
    <row r="30" customFormat="false" ht="15" hidden="false" customHeight="false" outlineLevel="0" collapsed="false">
      <c r="A30" s="6" t="s">
        <v>649</v>
      </c>
      <c r="B30" s="33" t="n">
        <v>4700</v>
      </c>
    </row>
    <row r="31" customFormat="false" ht="15" hidden="false" customHeight="false" outlineLevel="0" collapsed="false">
      <c r="A31" s="6" t="s">
        <v>650</v>
      </c>
      <c r="B31" s="5" t="s">
        <v>651</v>
      </c>
    </row>
    <row r="32" customFormat="false" ht="15" hidden="false" customHeight="false" outlineLevel="0" collapsed="false">
      <c r="A32" s="6" t="s">
        <v>652</v>
      </c>
      <c r="B32" s="55" t="n">
        <v>89521</v>
      </c>
    </row>
    <row r="33" customFormat="false" ht="15" hidden="false" customHeight="false" outlineLevel="0" collapsed="false">
      <c r="A33" s="6" t="s">
        <v>653</v>
      </c>
      <c r="B33" s="33" t="n">
        <v>5115</v>
      </c>
    </row>
    <row r="34" customFormat="false" ht="15" hidden="false" customHeight="false" outlineLevel="0" collapsed="false">
      <c r="A34" s="6" t="s">
        <v>654</v>
      </c>
      <c r="B34" s="33" t="n">
        <v>3911</v>
      </c>
    </row>
    <row r="35" customFormat="false" ht="15" hidden="false" customHeight="false" outlineLevel="0" collapsed="false">
      <c r="A35" s="6" t="s">
        <v>655</v>
      </c>
      <c r="B35" s="25" t="n">
        <v>4511.68</v>
      </c>
    </row>
    <row r="36" customFormat="false" ht="15" hidden="false" customHeight="false" outlineLevel="0" collapsed="false">
      <c r="A36" s="6" t="s">
        <v>656</v>
      </c>
      <c r="B36" s="33" t="n">
        <v>706</v>
      </c>
    </row>
    <row r="37" customFormat="false" ht="15" hidden="false" customHeight="false" outlineLevel="0" collapsed="false">
      <c r="A37" s="6" t="s">
        <v>657</v>
      </c>
      <c r="B37" s="24" t="n">
        <v>0.1783</v>
      </c>
    </row>
    <row r="38" customFormat="false" ht="15" hidden="false" customHeight="false" outlineLevel="0" collapsed="false">
      <c r="A38" s="6" t="s">
        <v>658</v>
      </c>
      <c r="B38" s="34" t="n">
        <f aca="false">B29/B33-1</f>
        <v>-0.0877810361681329</v>
      </c>
    </row>
    <row r="40" customFormat="false" ht="43.5" hidden="false" customHeight="true" outlineLevel="0" collapsed="false">
      <c r="A40" s="38" t="s">
        <v>659</v>
      </c>
      <c r="B40" s="38"/>
      <c r="C40" s="38"/>
      <c r="D40" s="38"/>
    </row>
  </sheetData>
  <mergeCells count="1"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3"/>
    <col collapsed="false" customWidth="true" hidden="false" outlineLevel="0" max="14" min="14" style="0" width="3"/>
    <col collapsed="false" customWidth="true" hidden="false" outlineLevel="0" max="15" min="15" style="0" width="40"/>
    <col collapsed="false" customWidth="true" hidden="false" outlineLevel="0" max="19" min="16" style="0" width="11"/>
  </cols>
  <sheetData>
    <row r="1" customFormat="false" ht="17.35" hidden="false" customHeight="false" outlineLevel="0" collapsed="false">
      <c r="A1" s="1" t="s">
        <v>660</v>
      </c>
    </row>
    <row r="2" customFormat="false" ht="15" hidden="false" customHeight="false" outlineLevel="0" collapsed="false">
      <c r="A2" s="2" t="s">
        <v>661</v>
      </c>
    </row>
    <row r="6" customFormat="false" ht="30" hidden="false" customHeight="true" outlineLevel="0" collapsed="false">
      <c r="A6" s="11" t="s">
        <v>508</v>
      </c>
      <c r="B6" s="11" t="s">
        <v>662</v>
      </c>
      <c r="C6" s="11" t="s">
        <v>663</v>
      </c>
      <c r="D6" s="11" t="s">
        <v>664</v>
      </c>
      <c r="E6" s="11" t="s">
        <v>665</v>
      </c>
      <c r="F6" s="11" t="s">
        <v>666</v>
      </c>
      <c r="G6" s="11" t="s">
        <v>667</v>
      </c>
      <c r="H6" s="11" t="s">
        <v>668</v>
      </c>
      <c r="I6" s="11" t="s">
        <v>669</v>
      </c>
      <c r="J6" s="11" t="s">
        <v>670</v>
      </c>
      <c r="K6" s="11" t="s">
        <v>671</v>
      </c>
      <c r="L6" s="11" t="s">
        <v>672</v>
      </c>
      <c r="M6" s="11" t="s">
        <v>673</v>
      </c>
      <c r="O6" s="43" t="s">
        <v>674</v>
      </c>
      <c r="P6" s="11" t="s">
        <v>675</v>
      </c>
      <c r="Q6" s="11" t="s">
        <v>505</v>
      </c>
      <c r="R6" s="11" t="s">
        <v>503</v>
      </c>
      <c r="S6" s="11" t="s">
        <v>501</v>
      </c>
    </row>
    <row r="7" customFormat="false" ht="15" hidden="false" customHeight="false" outlineLevel="0" collapsed="false">
      <c r="A7" s="66" t="n">
        <v>46251</v>
      </c>
      <c r="B7" s="25" t="n">
        <v>4903</v>
      </c>
      <c r="C7" s="25" t="n">
        <v>3.67</v>
      </c>
      <c r="D7" s="25" t="n">
        <v>78.71</v>
      </c>
      <c r="E7" s="25" t="n">
        <v>4512.5</v>
      </c>
      <c r="F7" s="6"/>
      <c r="G7" s="6"/>
      <c r="H7" s="6"/>
      <c r="I7" s="6"/>
      <c r="J7" s="42" t="n">
        <f aca="false">B7/B$7*100</f>
        <v>100</v>
      </c>
      <c r="K7" s="42" t="n">
        <f aca="false">C7/C$7*100</f>
        <v>100</v>
      </c>
      <c r="L7" s="42" t="n">
        <f aca="false">D7/D$7*100</f>
        <v>100</v>
      </c>
      <c r="M7" s="42" t="n">
        <f aca="false">E7/E$7*100</f>
        <v>100</v>
      </c>
      <c r="O7" s="6" t="s">
        <v>676</v>
      </c>
      <c r="P7" s="50" t="n">
        <f aca="false">COUNT(F8:F50)</f>
        <v>37</v>
      </c>
      <c r="Q7" s="50" t="n">
        <f aca="false">COUNT(G8:G50)</f>
        <v>39</v>
      </c>
      <c r="R7" s="50" t="n">
        <f aca="false">COUNT(H8:H50)</f>
        <v>39</v>
      </c>
      <c r="S7" s="50" t="n">
        <f aca="false">COUNT(I8:I50)</f>
        <v>40</v>
      </c>
    </row>
    <row r="8" customFormat="false" ht="15" hidden="false" customHeight="false" outlineLevel="0" collapsed="false">
      <c r="A8" s="66" t="n">
        <v>46252</v>
      </c>
      <c r="B8" s="25" t="n">
        <v>4943</v>
      </c>
      <c r="C8" s="25" t="n">
        <v>3.7</v>
      </c>
      <c r="D8" s="25" t="n">
        <v>79.2</v>
      </c>
      <c r="E8" s="25" t="n">
        <v>4578</v>
      </c>
      <c r="F8" s="60" t="n">
        <f aca="false">IF(AND(ISNUMBER(B8),ISNUMBER(B7)),LN(B8/B7),"")</f>
        <v>0.00812517165572613</v>
      </c>
      <c r="G8" s="60" t="n">
        <f aca="false">IF(AND(ISNUMBER(C8),ISNUMBER(C7)),LN(C8/C7),"")</f>
        <v>0.00814115758369987</v>
      </c>
      <c r="H8" s="60" t="n">
        <f aca="false">IF(AND(ISNUMBER(D8),ISNUMBER(D7)),LN(D8/D7),"")</f>
        <v>0.00620608666602153</v>
      </c>
      <c r="I8" s="60" t="n">
        <f aca="false">IF(AND(ISNUMBER(E8),ISNUMBER(E7)),LN(E8/E7),"")</f>
        <v>0.0144108978713756</v>
      </c>
      <c r="J8" s="42" t="n">
        <f aca="false">IF(ISNUMBER(B8),B8/B$7*100,J7)</f>
        <v>100.815827044667</v>
      </c>
      <c r="K8" s="42" t="n">
        <f aca="false">IF(ISNUMBER(C8),C8/C$7*100,K7)</f>
        <v>100.817438692098</v>
      </c>
      <c r="L8" s="42" t="n">
        <f aca="false">IF(ISNUMBER(D8),D8/D$7*100,L7)</f>
        <v>100.62253843222</v>
      </c>
      <c r="M8" s="42" t="n">
        <f aca="false">IF(ISNUMBER(E8),E8/E$7*100,M7)</f>
        <v>101.451523545706</v>
      </c>
      <c r="O8" s="6" t="s">
        <v>677</v>
      </c>
      <c r="P8" s="34" t="n">
        <f aca="false">STDEV(F8:F50)*SQRT(252)</f>
        <v>0.170502906176408</v>
      </c>
      <c r="Q8" s="34" t="n">
        <f aca="false">STDEV(G8:G50)*SQRT(252)</f>
        <v>0.193992845539147</v>
      </c>
      <c r="R8" s="34" t="n">
        <f aca="false">STDEV(H8:H50)*SQRT(252)</f>
        <v>0.176549620170177</v>
      </c>
      <c r="S8" s="34" t="n">
        <f aca="false">STDEV(I8:I50)*SQRT(252)</f>
        <v>0.183765145238582</v>
      </c>
    </row>
    <row r="9" customFormat="false" ht="15" hidden="false" customHeight="false" outlineLevel="0" collapsed="false">
      <c r="A9" s="66" t="n">
        <v>46253</v>
      </c>
      <c r="B9" s="25" t="n">
        <v>4972</v>
      </c>
      <c r="C9" s="25" t="n">
        <v>3.64</v>
      </c>
      <c r="D9" s="25" t="n">
        <v>79.34</v>
      </c>
      <c r="E9" s="25" t="n">
        <v>4638.5</v>
      </c>
      <c r="F9" s="60" t="n">
        <f aca="false">IF(AND(ISNUMBER(B9),ISNUMBER(B8)),LN(B9/B8),"")</f>
        <v>0.00584973932364245</v>
      </c>
      <c r="G9" s="60" t="n">
        <f aca="false">IF(AND(ISNUMBER(C9),ISNUMBER(C8)),LN(C9/C8),"")</f>
        <v>-0.0163491380015295</v>
      </c>
      <c r="H9" s="60" t="n">
        <f aca="false">IF(AND(ISNUMBER(D9),ISNUMBER(D8)),LN(D9/D8),"")</f>
        <v>0.001766116265804</v>
      </c>
      <c r="I9" s="60" t="n">
        <f aca="false">IF(AND(ISNUMBER(E9),ISNUMBER(E8)),LN(E9/E8),"")</f>
        <v>0.0131288165808142</v>
      </c>
      <c r="J9" s="42" t="n">
        <f aca="false">IF(ISNUMBER(B9),B9/B$7*100,J8)</f>
        <v>101.40730165205</v>
      </c>
      <c r="K9" s="42" t="n">
        <f aca="false">IF(ISNUMBER(C9),C9/C$7*100,K8)</f>
        <v>99.1825613079019</v>
      </c>
      <c r="L9" s="42" t="n">
        <f aca="false">IF(ISNUMBER(D9),D9/D$7*100,L8)</f>
        <v>100.800406555711</v>
      </c>
      <c r="M9" s="42" t="n">
        <f aca="false">IF(ISNUMBER(E9),E9/E$7*100,M8)</f>
        <v>102.792243767313</v>
      </c>
      <c r="O9" s="6" t="s">
        <v>678</v>
      </c>
      <c r="P9" s="53" t="s">
        <v>679</v>
      </c>
      <c r="Q9" s="30" t="n">
        <f aca="false">CORREL(G8:G50,$F$8:$F$50)</f>
        <v>-0.0791300618052402</v>
      </c>
      <c r="R9" s="30" t="n">
        <f aca="false">CORREL(H8:H50,$F$8:$F$50)</f>
        <v>0.230391816736703</v>
      </c>
      <c r="S9" s="30" t="n">
        <f aca="false">CORREL(I8:I50,$F$8:$F$50)</f>
        <v>0.184199850349728</v>
      </c>
    </row>
    <row r="10" customFormat="false" ht="15" hidden="false" customHeight="false" outlineLevel="0" collapsed="false">
      <c r="A10" s="66" t="n">
        <v>46254</v>
      </c>
      <c r="B10" s="25" t="n">
        <v>5025</v>
      </c>
      <c r="C10" s="25" t="n">
        <v>3.66</v>
      </c>
      <c r="D10" s="25" t="n">
        <v>79.4</v>
      </c>
      <c r="E10" s="25" t="n">
        <v>4649</v>
      </c>
      <c r="F10" s="60" t="n">
        <f aca="false">IF(AND(ISNUMBER(B10),ISNUMBER(B9)),LN(B10/B9),"")</f>
        <v>0.0106032802966747</v>
      </c>
      <c r="G10" s="60" t="n">
        <f aca="false">IF(AND(ISNUMBER(C10),ISNUMBER(C9)),LN(C10/C9),"")</f>
        <v>0.00547946576462557</v>
      </c>
      <c r="H10" s="60" t="n">
        <f aca="false">IF(AND(ISNUMBER(D10),ISNUMBER(D9)),LN(D10/D9),"")</f>
        <v>0.00075595316690596</v>
      </c>
      <c r="I10" s="60" t="n">
        <f aca="false">IF(AND(ISNUMBER(E10),ISNUMBER(E9)),LN(E10/E9),"")</f>
        <v>0.0022611045972585</v>
      </c>
      <c r="J10" s="42" t="n">
        <f aca="false">IF(ISNUMBER(B10),B10/B$7*100,J9)</f>
        <v>102.488272486233</v>
      </c>
      <c r="K10" s="42" t="n">
        <f aca="false">IF(ISNUMBER(C10),C10/C$7*100,K9)</f>
        <v>99.7275204359673</v>
      </c>
      <c r="L10" s="42" t="n">
        <f aca="false">IF(ISNUMBER(D10),D10/D$7*100,L9)</f>
        <v>100.876635751493</v>
      </c>
      <c r="M10" s="42" t="n">
        <f aca="false">IF(ISNUMBER(E10),E10/E$7*100,M9)</f>
        <v>103.024930747922</v>
      </c>
      <c r="O10" s="6" t="s">
        <v>680</v>
      </c>
      <c r="P10" s="53" t="s">
        <v>679</v>
      </c>
      <c r="Q10" s="30" t="n">
        <f aca="false">SLOPE(G8:G50,$F$8:$F$50)</f>
        <v>-0.0914050223315675</v>
      </c>
      <c r="R10" s="30" t="n">
        <f aca="false">SLOPE(H8:H50,$F$8:$F$50)</f>
        <v>0.250010254954746</v>
      </c>
      <c r="S10" s="30" t="n">
        <f aca="false">SLOPE(I8:I50,$F$8:$F$50)</f>
        <v>0.20661569472099</v>
      </c>
    </row>
    <row r="11" customFormat="false" ht="15" hidden="false" customHeight="false" outlineLevel="0" collapsed="false">
      <c r="A11" s="66" t="n">
        <v>46255</v>
      </c>
      <c r="B11" s="25" t="n">
        <v>5077</v>
      </c>
      <c r="C11" s="25" t="n">
        <v>3.71</v>
      </c>
      <c r="D11" s="25" t="n">
        <v>79.68</v>
      </c>
      <c r="E11" s="25" t="n">
        <v>4681</v>
      </c>
      <c r="F11" s="60" t="n">
        <f aca="false">IF(AND(ISNUMBER(B11),ISNUMBER(B10)),LN(B11/B10),"")</f>
        <v>0.0102950820201178</v>
      </c>
      <c r="G11" s="60" t="n">
        <f aca="false">IF(AND(ISNUMBER(C11),ISNUMBER(C10)),LN(C11/C10),"")</f>
        <v>0.0135687292060688</v>
      </c>
      <c r="H11" s="60" t="n">
        <f aca="false">IF(AND(ISNUMBER(D11),ISNUMBER(D10)),LN(D11/D10),"")</f>
        <v>0.00352024502325278</v>
      </c>
      <c r="I11" s="60" t="n">
        <f aca="false">IF(AND(ISNUMBER(E11),ISNUMBER(E10)),LN(E11/E10),"")</f>
        <v>0.00685961960948592</v>
      </c>
      <c r="J11" s="42" t="n">
        <f aca="false">IF(ISNUMBER(B11),B11/B$7*100,J10)</f>
        <v>103.548847644299</v>
      </c>
      <c r="K11" s="42" t="n">
        <f aca="false">IF(ISNUMBER(C11),C11/C$7*100,K10)</f>
        <v>101.089918256131</v>
      </c>
      <c r="L11" s="42" t="n">
        <f aca="false">IF(ISNUMBER(D11),D11/D$7*100,L10)</f>
        <v>101.232371998475</v>
      </c>
      <c r="M11" s="42" t="n">
        <f aca="false">IF(ISNUMBER(E11),E11/E$7*100,M10)</f>
        <v>103.734072022161</v>
      </c>
      <c r="O11" s="6" t="s">
        <v>681</v>
      </c>
      <c r="P11" s="53" t="s">
        <v>679</v>
      </c>
      <c r="Q11" s="50" t="n">
        <f aca="false">SUMPRODUCT(ISNUMBER(G8:G50)*ISNUMBER($F$8:$F$50))</f>
        <v>33</v>
      </c>
      <c r="R11" s="50" t="n">
        <f aca="false">SUMPRODUCT(ISNUMBER(H8:H50)*ISNUMBER($F$8:$F$50))</f>
        <v>33</v>
      </c>
      <c r="S11" s="50" t="n">
        <f aca="false">SUMPRODUCT(ISNUMBER(I8:I50)*ISNUMBER($F$8:$F$50))</f>
        <v>36</v>
      </c>
    </row>
    <row r="12" customFormat="false" ht="15" hidden="false" customHeight="false" outlineLevel="0" collapsed="false">
      <c r="A12" s="66" t="n">
        <v>46258</v>
      </c>
      <c r="B12" s="25" t="n">
        <v>5013</v>
      </c>
      <c r="C12" s="25" t="n">
        <v>3.76</v>
      </c>
      <c r="D12" s="25" t="n">
        <v>80.46</v>
      </c>
      <c r="E12" s="25" t="n">
        <v>4782.5</v>
      </c>
      <c r="F12" s="60" t="n">
        <f aca="false">IF(AND(ISNUMBER(B12),ISNUMBER(B11)),LN(B12/B11),"")</f>
        <v>-0.0126859976838909</v>
      </c>
      <c r="G12" s="60" t="n">
        <f aca="false">IF(AND(ISNUMBER(C12),ISNUMBER(C11)),LN(C12/C11),"")</f>
        <v>0.0133870807824593</v>
      </c>
      <c r="H12" s="60" t="n">
        <f aca="false">IF(AND(ISNUMBER(D12),ISNUMBER(D11)),LN(D12/D11),"")</f>
        <v>0.00974155324529915</v>
      </c>
      <c r="I12" s="60" t="n">
        <f aca="false">IF(AND(ISNUMBER(E12),ISNUMBER(E11)),LN(E12/E11),"")</f>
        <v>0.0214516600143374</v>
      </c>
      <c r="J12" s="42" t="n">
        <f aca="false">IF(ISNUMBER(B12),B12/B$7*100,J11)</f>
        <v>102.243524372833</v>
      </c>
      <c r="K12" s="42" t="n">
        <f aca="false">IF(ISNUMBER(C12),C12/C$7*100,K11)</f>
        <v>102.452316076294</v>
      </c>
      <c r="L12" s="42" t="n">
        <f aca="false">IF(ISNUMBER(D12),D12/D$7*100,L11)</f>
        <v>102.223351543641</v>
      </c>
      <c r="M12" s="42" t="n">
        <f aca="false">IF(ISNUMBER(E12),E12/E$7*100,M11)</f>
        <v>105.983379501385</v>
      </c>
      <c r="O12" s="6" t="s">
        <v>682</v>
      </c>
      <c r="P12" s="53" t="s">
        <v>679</v>
      </c>
      <c r="Q12" s="30" t="n">
        <f aca="false">2/SQRT(Q11)</f>
        <v>0.348155311911396</v>
      </c>
      <c r="R12" s="30" t="n">
        <f aca="false">2/SQRT(R11)</f>
        <v>0.348155311911396</v>
      </c>
      <c r="S12" s="30" t="n">
        <f aca="false">2/SQRT(S11)</f>
        <v>0.333333333333333</v>
      </c>
    </row>
    <row r="13" customFormat="false" ht="15" hidden="false" customHeight="false" outlineLevel="0" collapsed="false">
      <c r="A13" s="66" t="n">
        <v>46259</v>
      </c>
      <c r="B13" s="25"/>
      <c r="C13" s="25" t="n">
        <v>3.75</v>
      </c>
      <c r="D13" s="25" t="n">
        <v>79.82</v>
      </c>
      <c r="E13" s="25" t="n">
        <v>4761.5</v>
      </c>
      <c r="F13" s="60" t="str">
        <f aca="false">IF(AND(ISNUMBER(B13),ISNUMBER(B12)),LN(B13/B12),"")</f>
        <v/>
      </c>
      <c r="G13" s="60" t="n">
        <f aca="false">IF(AND(ISNUMBER(C13),ISNUMBER(C12)),LN(C13/C12),"")</f>
        <v>-0.00266311741948366</v>
      </c>
      <c r="H13" s="60" t="n">
        <f aca="false">IF(AND(ISNUMBER(D13),ISNUMBER(D12)),LN(D13/D12),"")</f>
        <v>-0.00798606690105438</v>
      </c>
      <c r="I13" s="60" t="n">
        <f aca="false">IF(AND(ISNUMBER(E13),ISNUMBER(E12)),LN(E13/E12),"")</f>
        <v>-0.00440067768030726</v>
      </c>
      <c r="J13" s="42" t="n">
        <f aca="false">IF(ISNUMBER(B13),B13/B$7*100,J12)</f>
        <v>102.243524372833</v>
      </c>
      <c r="K13" s="42" t="n">
        <f aca="false">IF(ISNUMBER(C13),C13/C$7*100,K12)</f>
        <v>102.179836512262</v>
      </c>
      <c r="L13" s="42" t="n">
        <f aca="false">IF(ISNUMBER(D13),D13/D$7*100,L12)</f>
        <v>101.410240121967</v>
      </c>
      <c r="M13" s="42" t="n">
        <f aca="false">IF(ISNUMBER(E13),E13/E$7*100,M12)</f>
        <v>105.518005540166</v>
      </c>
    </row>
    <row r="14" customFormat="false" ht="15" hidden="false" customHeight="false" outlineLevel="0" collapsed="false">
      <c r="A14" s="66" t="n">
        <v>46260</v>
      </c>
      <c r="B14" s="25" t="n">
        <v>4931</v>
      </c>
      <c r="C14" s="25" t="n">
        <v>3.75</v>
      </c>
      <c r="D14" s="25" t="n">
        <v>79.87</v>
      </c>
      <c r="E14" s="25" t="n">
        <v>4772</v>
      </c>
      <c r="F14" s="60" t="str">
        <f aca="false">IF(AND(ISNUMBER(B14),ISNUMBER(B13)),LN(B14/B13),"")</f>
        <v/>
      </c>
      <c r="G14" s="60" t="n">
        <f aca="false">IF(AND(ISNUMBER(C14),ISNUMBER(C13)),LN(C14/C13),"")</f>
        <v>0</v>
      </c>
      <c r="H14" s="60" t="n">
        <f aca="false">IF(AND(ISNUMBER(D14),ISNUMBER(D13)),LN(D14/D13),"")</f>
        <v>0.000626213308709899</v>
      </c>
      <c r="I14" s="60" t="n">
        <f aca="false">IF(AND(ISNUMBER(E14),ISNUMBER(E13)),LN(E14/E13),"")</f>
        <v>0.00220275958370612</v>
      </c>
      <c r="J14" s="42" t="n">
        <f aca="false">IF(ISNUMBER(B14),B14/B$7*100,J13)</f>
        <v>100.571078931267</v>
      </c>
      <c r="K14" s="42" t="n">
        <f aca="false">IF(ISNUMBER(C14),C14/C$7*100,K13)</f>
        <v>102.179836512262</v>
      </c>
      <c r="L14" s="42" t="n">
        <f aca="false">IF(ISNUMBER(D14),D14/D$7*100,L13)</f>
        <v>101.473764451785</v>
      </c>
      <c r="M14" s="42" t="n">
        <f aca="false">IF(ISNUMBER(E14),E14/E$7*100,M13)</f>
        <v>105.750692520776</v>
      </c>
      <c r="O14" s="2" t="s">
        <v>683</v>
      </c>
    </row>
    <row r="15" customFormat="false" ht="15" hidden="false" customHeight="false" outlineLevel="0" collapsed="false">
      <c r="A15" s="66" t="n">
        <v>46261</v>
      </c>
      <c r="B15" s="25" t="n">
        <v>4907</v>
      </c>
      <c r="C15" s="25" t="n">
        <v>3.77</v>
      </c>
      <c r="D15" s="25" t="n">
        <v>78.52</v>
      </c>
      <c r="E15" s="25" t="n">
        <v>4752</v>
      </c>
      <c r="F15" s="60" t="n">
        <f aca="false">IF(AND(ISNUMBER(B15),ISNUMBER(B14)),LN(B15/B14),"")</f>
        <v>-0.00487905013422271</v>
      </c>
      <c r="G15" s="60" t="n">
        <f aca="false">IF(AND(ISNUMBER(C15),ISNUMBER(C14)),LN(C15/C14),"")</f>
        <v>0.00531916147760003</v>
      </c>
      <c r="H15" s="60" t="n">
        <f aca="false">IF(AND(ISNUMBER(D15),ISNUMBER(D14)),LN(D15/D14),"")</f>
        <v>-0.0170469435210373</v>
      </c>
      <c r="I15" s="60" t="n">
        <f aca="false">IF(AND(ISNUMBER(E15),ISNUMBER(E14)),LN(E15/E14),"")</f>
        <v>-0.00419992217532591</v>
      </c>
      <c r="J15" s="42" t="n">
        <f aca="false">IF(ISNUMBER(B15),B15/B$7*100,J14)</f>
        <v>100.081582704467</v>
      </c>
      <c r="K15" s="42" t="n">
        <f aca="false">IF(ISNUMBER(C15),C15/C$7*100,K14)</f>
        <v>102.724795640327</v>
      </c>
      <c r="L15" s="42" t="n">
        <f aca="false">IF(ISNUMBER(D15),D15/D$7*100,L14)</f>
        <v>99.7586075466904</v>
      </c>
      <c r="M15" s="42" t="n">
        <f aca="false">IF(ISNUMBER(E15),E15/E$7*100,M14)</f>
        <v>105.307479224377</v>
      </c>
      <c r="O15" s="2" t="s">
        <v>684</v>
      </c>
    </row>
    <row r="16" customFormat="false" ht="15" hidden="false" customHeight="false" outlineLevel="0" collapsed="false">
      <c r="A16" s="66" t="n">
        <v>46262</v>
      </c>
      <c r="B16" s="25" t="n">
        <v>4988</v>
      </c>
      <c r="C16" s="25" t="n">
        <v>3.81</v>
      </c>
      <c r="D16" s="25" t="n">
        <v>78.62</v>
      </c>
      <c r="E16" s="25" t="n">
        <v>4776</v>
      </c>
      <c r="F16" s="60" t="n">
        <f aca="false">IF(AND(ISNUMBER(B16),ISNUMBER(B15)),LN(B16/B15),"")</f>
        <v>0.0163722707100237</v>
      </c>
      <c r="G16" s="60" t="n">
        <f aca="false">IF(AND(ISNUMBER(C16),ISNUMBER(C15)),LN(C16/C15),"")</f>
        <v>0.0105541876786902</v>
      </c>
      <c r="H16" s="60" t="n">
        <f aca="false">IF(AND(ISNUMBER(D16),ISNUMBER(D15)),LN(D16/D15),"")</f>
        <v>0.00127275058545407</v>
      </c>
      <c r="I16" s="60" t="n">
        <f aca="false">IF(AND(ISNUMBER(E16),ISNUMBER(E15)),LN(E16/E15),"")</f>
        <v>0.00503779402995708</v>
      </c>
      <c r="J16" s="42" t="n">
        <f aca="false">IF(ISNUMBER(B16),B16/B$7*100,J15)</f>
        <v>101.733632469916</v>
      </c>
      <c r="K16" s="42" t="n">
        <f aca="false">IF(ISNUMBER(C16),C16/C$7*100,K15)</f>
        <v>103.814713896458</v>
      </c>
      <c r="L16" s="42" t="n">
        <f aca="false">IF(ISNUMBER(D16),D16/D$7*100,L15)</f>
        <v>99.885656206327</v>
      </c>
      <c r="M16" s="42" t="n">
        <f aca="false">IF(ISNUMBER(E16),E16/E$7*100,M15)</f>
        <v>105.839335180055</v>
      </c>
    </row>
    <row r="17" customFormat="false" ht="15" hidden="false" customHeight="false" outlineLevel="0" collapsed="false">
      <c r="A17" s="66" t="n">
        <v>46265</v>
      </c>
      <c r="B17" s="25"/>
      <c r="C17" s="25" t="n">
        <v>3.84</v>
      </c>
      <c r="D17" s="25" t="n">
        <v>78.82</v>
      </c>
      <c r="E17" s="25"/>
      <c r="F17" s="60" t="str">
        <f aca="false">IF(AND(ISNUMBER(B17),ISNUMBER(B16)),LN(B17/B16),"")</f>
        <v/>
      </c>
      <c r="G17" s="60" t="n">
        <f aca="false">IF(AND(ISNUMBER(C17),ISNUMBER(C16)),LN(C17/C16),"")</f>
        <v>0.00784317746102588</v>
      </c>
      <c r="H17" s="60" t="n">
        <f aca="false">IF(AND(ISNUMBER(D17),ISNUMBER(D16)),LN(D17/D16),"")</f>
        <v>0.00254065177314327</v>
      </c>
      <c r="I17" s="60" t="str">
        <f aca="false">IF(AND(ISNUMBER(E17),ISNUMBER(E16)),LN(E17/E16),"")</f>
        <v/>
      </c>
      <c r="J17" s="42" t="n">
        <f aca="false">IF(ISNUMBER(B17),B17/B$7*100,J16)</f>
        <v>101.733632469916</v>
      </c>
      <c r="K17" s="42" t="n">
        <f aca="false">IF(ISNUMBER(C17),C17/C$7*100,K16)</f>
        <v>104.632152588556</v>
      </c>
      <c r="L17" s="42" t="n">
        <f aca="false">IF(ISNUMBER(D17),D17/D$7*100,L16)</f>
        <v>100.1397535256</v>
      </c>
      <c r="M17" s="42" t="n">
        <f aca="false">IF(ISNUMBER(E17),E17/E$7*100,M16)</f>
        <v>105.839335180055</v>
      </c>
    </row>
    <row r="18" customFormat="false" ht="15" hidden="false" customHeight="false" outlineLevel="0" collapsed="false">
      <c r="A18" s="66" t="n">
        <v>46266</v>
      </c>
      <c r="B18" s="25" t="n">
        <v>5072</v>
      </c>
      <c r="C18" s="25" t="n">
        <v>3.76</v>
      </c>
      <c r="D18" s="25" t="n">
        <v>78.51</v>
      </c>
      <c r="E18" s="25" t="n">
        <v>4811</v>
      </c>
      <c r="F18" s="60" t="str">
        <f aca="false">IF(AND(ISNUMBER(B18),ISNUMBER(B17)),LN(B18/B17),"")</f>
        <v/>
      </c>
      <c r="G18" s="60" t="n">
        <f aca="false">IF(AND(ISNUMBER(C18),ISNUMBER(C17)),LN(C18/C17),"")</f>
        <v>-0.0210534091978324</v>
      </c>
      <c r="H18" s="60" t="n">
        <f aca="false">IF(AND(ISNUMBER(D18),ISNUMBER(D17)),LN(D18/D17),"")</f>
        <v>-0.00394076655669332</v>
      </c>
      <c r="I18" s="60" t="str">
        <f aca="false">IF(AND(ISNUMBER(E18),ISNUMBER(E17)),LN(E18/E17),"")</f>
        <v/>
      </c>
      <c r="J18" s="42" t="n">
        <f aca="false">IF(ISNUMBER(B18),B18/B$7*100,J17)</f>
        <v>103.446869263716</v>
      </c>
      <c r="K18" s="42" t="n">
        <f aca="false">IF(ISNUMBER(C18),C18/C$7*100,K17)</f>
        <v>102.452316076294</v>
      </c>
      <c r="L18" s="42" t="n">
        <f aca="false">IF(ISNUMBER(D18),D18/D$7*100,L17)</f>
        <v>99.7459026807267</v>
      </c>
      <c r="M18" s="42" t="n">
        <f aca="false">IF(ISNUMBER(E18),E18/E$7*100,M17)</f>
        <v>106.614958448753</v>
      </c>
    </row>
    <row r="19" customFormat="false" ht="15" hidden="false" customHeight="false" outlineLevel="0" collapsed="false">
      <c r="A19" s="66" t="n">
        <v>46267</v>
      </c>
      <c r="B19" s="25" t="n">
        <v>5065</v>
      </c>
      <c r="C19" s="25" t="n">
        <v>3.84</v>
      </c>
      <c r="D19" s="25" t="n">
        <v>78.63</v>
      </c>
      <c r="E19" s="25" t="n">
        <v>4782.5</v>
      </c>
      <c r="F19" s="60" t="n">
        <f aca="false">IF(AND(ISNUMBER(B19),ISNUMBER(B18)),LN(B19/B18),"")</f>
        <v>-0.00138107943427814</v>
      </c>
      <c r="G19" s="60" t="n">
        <f aca="false">IF(AND(ISNUMBER(C19),ISNUMBER(C18)),LN(C19/C18),"")</f>
        <v>0.0210534091978323</v>
      </c>
      <c r="H19" s="60" t="n">
        <f aca="false">IF(AND(ISNUMBER(D19),ISNUMBER(D18)),LN(D19/D18),"")</f>
        <v>0.00152730079326047</v>
      </c>
      <c r="I19" s="60" t="n">
        <f aca="false">IF(AND(ISNUMBER(E19),ISNUMBER(E18)),LN(E19/E18),"")</f>
        <v>-0.00594154038504579</v>
      </c>
      <c r="J19" s="42" t="n">
        <f aca="false">IF(ISNUMBER(B19),B19/B$7*100,J18)</f>
        <v>103.304099530899</v>
      </c>
      <c r="K19" s="42" t="n">
        <f aca="false">IF(ISNUMBER(C19),C19/C$7*100,K18)</f>
        <v>104.632152588556</v>
      </c>
      <c r="L19" s="42" t="n">
        <f aca="false">IF(ISNUMBER(D19),D19/D$7*100,L18)</f>
        <v>99.8983610722907</v>
      </c>
      <c r="M19" s="42" t="n">
        <f aca="false">IF(ISNUMBER(E19),E19/E$7*100,M18)</f>
        <v>105.983379501385</v>
      </c>
    </row>
    <row r="20" customFormat="false" ht="15" hidden="false" customHeight="false" outlineLevel="0" collapsed="false">
      <c r="A20" s="66" t="n">
        <v>46268</v>
      </c>
      <c r="B20" s="25" t="n">
        <v>5018</v>
      </c>
      <c r="C20" s="25" t="n">
        <v>3.84</v>
      </c>
      <c r="D20" s="25" t="n">
        <v>77.84</v>
      </c>
      <c r="E20" s="25" t="n">
        <v>4733</v>
      </c>
      <c r="F20" s="60" t="n">
        <f aca="false">IF(AND(ISNUMBER(B20),ISNUMBER(B19)),LN(B20/B19),"")</f>
        <v>-0.00932268975641618</v>
      </c>
      <c r="G20" s="60" t="n">
        <f aca="false">IF(AND(ISNUMBER(C20),ISNUMBER(C19)),LN(C20/C19),"")</f>
        <v>0</v>
      </c>
      <c r="H20" s="60" t="n">
        <f aca="false">IF(AND(ISNUMBER(D20),ISNUMBER(D19)),LN(D20/D19),"")</f>
        <v>-0.010097868125675</v>
      </c>
      <c r="I20" s="60" t="n">
        <f aca="false">IF(AND(ISNUMBER(E20),ISNUMBER(E19)),LN(E20/E19),"")</f>
        <v>-0.0104041714081599</v>
      </c>
      <c r="J20" s="42" t="n">
        <f aca="false">IF(ISNUMBER(B20),B20/B$7*100,J19)</f>
        <v>102.345502753416</v>
      </c>
      <c r="K20" s="42" t="n">
        <f aca="false">IF(ISNUMBER(C20),C20/C$7*100,K19)</f>
        <v>104.632152588556</v>
      </c>
      <c r="L20" s="42" t="n">
        <f aca="false">IF(ISNUMBER(D20),D20/D$7*100,L19)</f>
        <v>98.8946766611612</v>
      </c>
      <c r="M20" s="42" t="n">
        <f aca="false">IF(ISNUMBER(E20),E20/E$7*100,M19)</f>
        <v>104.886426592798</v>
      </c>
    </row>
    <row r="21" customFormat="false" ht="15" hidden="false" customHeight="false" outlineLevel="0" collapsed="false">
      <c r="A21" s="66" t="n">
        <v>46269</v>
      </c>
      <c r="B21" s="25" t="n">
        <v>5054</v>
      </c>
      <c r="C21" s="25" t="n">
        <v>3.82</v>
      </c>
      <c r="D21" s="25" t="n">
        <v>78.31</v>
      </c>
      <c r="E21" s="25" t="n">
        <v>4763</v>
      </c>
      <c r="F21" s="60" t="n">
        <f aca="false">IF(AND(ISNUMBER(B21),ISNUMBER(B20)),LN(B21/B20),"")</f>
        <v>0.007148561021772</v>
      </c>
      <c r="G21" s="60" t="n">
        <f aca="false">IF(AND(ISNUMBER(C21),ISNUMBER(C20)),LN(C21/C20),"")</f>
        <v>-0.00522194398115171</v>
      </c>
      <c r="H21" s="60" t="n">
        <f aca="false">IF(AND(ISNUMBER(D21),ISNUMBER(D20)),LN(D21/D20),"")</f>
        <v>0.00601987088509663</v>
      </c>
      <c r="I21" s="60" t="n">
        <f aca="false">IF(AND(ISNUMBER(E21),ISNUMBER(E20)),LN(E21/E20),"")</f>
        <v>0.00631847089461247</v>
      </c>
      <c r="J21" s="42" t="n">
        <f aca="false">IF(ISNUMBER(B21),B21/B$7*100,J20)</f>
        <v>103.079747093616</v>
      </c>
      <c r="K21" s="42" t="n">
        <f aca="false">IF(ISNUMBER(C21),C21/C$7*100,K20)</f>
        <v>104.08719346049</v>
      </c>
      <c r="L21" s="42" t="n">
        <f aca="false">IF(ISNUMBER(D21),D21/D$7*100,L20)</f>
        <v>99.4918053614534</v>
      </c>
      <c r="M21" s="42" t="n">
        <f aca="false">IF(ISNUMBER(E21),E21/E$7*100,M20)</f>
        <v>105.551246537396</v>
      </c>
    </row>
    <row r="22" customFormat="false" ht="15" hidden="false" customHeight="false" outlineLevel="0" collapsed="false">
      <c r="A22" s="66" t="n">
        <v>46272</v>
      </c>
      <c r="B22" s="25" t="n">
        <v>5110</v>
      </c>
      <c r="C22" s="25" t="n">
        <v>3.8</v>
      </c>
      <c r="D22" s="25" t="n">
        <v>78.76</v>
      </c>
      <c r="E22" s="25" t="n">
        <v>4693.5</v>
      </c>
      <c r="F22" s="60" t="n">
        <f aca="false">IF(AND(ISNUMBER(B22),ISNUMBER(B21)),LN(B22/B21),"")</f>
        <v>0.0110193952496105</v>
      </c>
      <c r="G22" s="60" t="n">
        <f aca="false">IF(AND(ISNUMBER(C22),ISNUMBER(C21)),LN(C22/C21),"")</f>
        <v>-0.00524935588614368</v>
      </c>
      <c r="H22" s="60" t="n">
        <f aca="false">IF(AND(ISNUMBER(D22),ISNUMBER(D21)),LN(D22/D21),"")</f>
        <v>0.00572994500807848</v>
      </c>
      <c r="I22" s="60" t="n">
        <f aca="false">IF(AND(ISNUMBER(E22),ISNUMBER(E21)),LN(E22/E21),"")</f>
        <v>-0.0146991490238138</v>
      </c>
      <c r="J22" s="42" t="n">
        <f aca="false">IF(ISNUMBER(B22),B22/B$7*100,J21)</f>
        <v>104.221904956149</v>
      </c>
      <c r="K22" s="42" t="n">
        <f aca="false">IF(ISNUMBER(C22),C22/C$7*100,K21)</f>
        <v>103.542234332425</v>
      </c>
      <c r="L22" s="42" t="n">
        <f aca="false">IF(ISNUMBER(D22),D22/D$7*100,L21)</f>
        <v>100.063524329818</v>
      </c>
      <c r="M22" s="42" t="n">
        <f aca="false">IF(ISNUMBER(E22),E22/E$7*100,M21)</f>
        <v>104.01108033241</v>
      </c>
    </row>
    <row r="23" customFormat="false" ht="15" hidden="false" customHeight="false" outlineLevel="0" collapsed="false">
      <c r="A23" s="66" t="n">
        <v>46273</v>
      </c>
      <c r="B23" s="25" t="n">
        <v>5115</v>
      </c>
      <c r="C23" s="25" t="n">
        <v>3.73</v>
      </c>
      <c r="D23" s="25" t="n">
        <v>80.39</v>
      </c>
      <c r="E23" s="25" t="n">
        <v>4695.5</v>
      </c>
      <c r="F23" s="60" t="n">
        <f aca="false">IF(AND(ISNUMBER(B23),ISNUMBER(B22)),LN(B23/B22),"")</f>
        <v>0.00097799518797671</v>
      </c>
      <c r="G23" s="60" t="n">
        <f aca="false">IF(AND(ISNUMBER(C23),ISNUMBER(C22)),LN(C23/C22),"")</f>
        <v>-0.0185928330766159</v>
      </c>
      <c r="H23" s="60" t="n">
        <f aca="false">IF(AND(ISNUMBER(D23),ISNUMBER(D22)),LN(D23/D22),"")</f>
        <v>0.0204845365689446</v>
      </c>
      <c r="I23" s="60" t="n">
        <f aca="false">IF(AND(ISNUMBER(E23),ISNUMBER(E22)),LN(E23/E22),"")</f>
        <v>0.000426030467621835</v>
      </c>
      <c r="J23" s="42" t="n">
        <f aca="false">IF(ISNUMBER(B23),B23/B$7*100,J22)</f>
        <v>104.323883336733</v>
      </c>
      <c r="K23" s="42" t="n">
        <f aca="false">IF(ISNUMBER(C23),C23/C$7*100,K22)</f>
        <v>101.634877384196</v>
      </c>
      <c r="L23" s="42" t="n">
        <f aca="false">IF(ISNUMBER(D23),D23/D$7*100,L22)</f>
        <v>102.134417481896</v>
      </c>
      <c r="M23" s="42" t="n">
        <f aca="false">IF(ISNUMBER(E23),E23/E$7*100,M22)</f>
        <v>104.05540166205</v>
      </c>
    </row>
    <row r="24" customFormat="false" ht="15" hidden="false" customHeight="false" outlineLevel="0" collapsed="false">
      <c r="A24" s="66" t="n">
        <v>46274</v>
      </c>
      <c r="B24" s="25" t="n">
        <v>5109</v>
      </c>
      <c r="C24" s="25" t="n">
        <v>3.73</v>
      </c>
      <c r="D24" s="25" t="n">
        <v>77.73</v>
      </c>
      <c r="E24" s="25" t="n">
        <v>4621</v>
      </c>
      <c r="F24" s="60" t="n">
        <f aca="false">IF(AND(ISNUMBER(B24),ISNUMBER(B23)),LN(B24/B23),"")</f>
        <v>-0.00117370905492893</v>
      </c>
      <c r="G24" s="60" t="n">
        <f aca="false">IF(AND(ISNUMBER(C24),ISNUMBER(C23)),LN(C24/C23),"")</f>
        <v>0</v>
      </c>
      <c r="H24" s="60" t="n">
        <f aca="false">IF(AND(ISNUMBER(D24),ISNUMBER(D23)),LN(D24/D23),"")</f>
        <v>-0.0336485070977411</v>
      </c>
      <c r="I24" s="60" t="n">
        <f aca="false">IF(AND(ISNUMBER(E24),ISNUMBER(E23)),LN(E24/E23),"")</f>
        <v>-0.0159934713744019</v>
      </c>
      <c r="J24" s="42" t="n">
        <f aca="false">IF(ISNUMBER(B24),B24/B$7*100,J23)</f>
        <v>104.201509280033</v>
      </c>
      <c r="K24" s="42" t="n">
        <f aca="false">IF(ISNUMBER(C24),C24/C$7*100,K23)</f>
        <v>101.634877384196</v>
      </c>
      <c r="L24" s="42" t="n">
        <f aca="false">IF(ISNUMBER(D24),D24/D$7*100,L23)</f>
        <v>98.7549231355609</v>
      </c>
      <c r="M24" s="42" t="n">
        <f aca="false">IF(ISNUMBER(E24),E24/E$7*100,M23)</f>
        <v>102.404432132964</v>
      </c>
    </row>
    <row r="25" customFormat="false" ht="15" hidden="false" customHeight="false" outlineLevel="0" collapsed="false">
      <c r="A25" s="66" t="n">
        <v>46275</v>
      </c>
      <c r="B25" s="25" t="n">
        <v>5033</v>
      </c>
      <c r="C25" s="25" t="n">
        <v>3.71</v>
      </c>
      <c r="D25" s="25" t="n">
        <v>77.74</v>
      </c>
      <c r="E25" s="25" t="n">
        <v>4559</v>
      </c>
      <c r="F25" s="60" t="n">
        <f aca="false">IF(AND(ISNUMBER(B25),ISNUMBER(B24)),LN(B25/B24),"")</f>
        <v>-0.014987462554438</v>
      </c>
      <c r="G25" s="60" t="n">
        <f aca="false">IF(AND(ISNUMBER(C25),ISNUMBER(C24)),LN(C25/C24),"")</f>
        <v>-0.00537635703638041</v>
      </c>
      <c r="H25" s="60" t="n">
        <f aca="false">IF(AND(ISNUMBER(D25),ISNUMBER(D24)),LN(D25/D24),"")</f>
        <v>0.000128642181948755</v>
      </c>
      <c r="I25" s="60" t="n">
        <f aca="false">IF(AND(ISNUMBER(E25),ISNUMBER(E24)),LN(E25/E24),"")</f>
        <v>-0.013507830656825</v>
      </c>
      <c r="J25" s="42" t="n">
        <f aca="false">IF(ISNUMBER(B25),B25/B$7*100,J24)</f>
        <v>102.651437895166</v>
      </c>
      <c r="K25" s="42" t="n">
        <f aca="false">IF(ISNUMBER(C25),C25/C$7*100,K24)</f>
        <v>101.089918256131</v>
      </c>
      <c r="L25" s="42" t="n">
        <f aca="false">IF(ISNUMBER(D25),D25/D$7*100,L24)</f>
        <v>98.7676280015246</v>
      </c>
      <c r="M25" s="42" t="n">
        <f aca="false">IF(ISNUMBER(E25),E25/E$7*100,M24)</f>
        <v>101.030470914127</v>
      </c>
    </row>
    <row r="26" customFormat="false" ht="15" hidden="false" customHeight="false" outlineLevel="0" collapsed="false">
      <c r="A26" s="66" t="n">
        <v>46276</v>
      </c>
      <c r="B26" s="25" t="n">
        <v>4944</v>
      </c>
      <c r="C26" s="25" t="n">
        <v>3.71</v>
      </c>
      <c r="D26" s="25" t="n">
        <v>77.54</v>
      </c>
      <c r="E26" s="25" t="n">
        <v>4551.5</v>
      </c>
      <c r="F26" s="60" t="n">
        <f aca="false">IF(AND(ISNUMBER(B26),ISNUMBER(B25)),LN(B26/B25),"")</f>
        <v>-0.0178415076388333</v>
      </c>
      <c r="G26" s="60" t="n">
        <f aca="false">IF(AND(ISNUMBER(C26),ISNUMBER(C25)),LN(C26/C25),"")</f>
        <v>0</v>
      </c>
      <c r="H26" s="60" t="n">
        <f aca="false">IF(AND(ISNUMBER(D26),ISNUMBER(D25)),LN(D26/D25),"")</f>
        <v>-0.00257599318129385</v>
      </c>
      <c r="I26" s="60" t="n">
        <f aca="false">IF(AND(ISNUMBER(E26),ISNUMBER(E25)),LN(E26/E25),"")</f>
        <v>-0.00164645226809791</v>
      </c>
      <c r="J26" s="42" t="n">
        <f aca="false">IF(ISNUMBER(B26),B26/B$7*100,J25)</f>
        <v>100.836222720783</v>
      </c>
      <c r="K26" s="42" t="n">
        <f aca="false">IF(ISNUMBER(C26),C26/C$7*100,K25)</f>
        <v>101.089918256131</v>
      </c>
      <c r="L26" s="42" t="n">
        <f aca="false">IF(ISNUMBER(D26),D26/D$7*100,L25)</f>
        <v>98.5135306822513</v>
      </c>
      <c r="M26" s="42" t="n">
        <f aca="false">IF(ISNUMBER(E26),E26/E$7*100,M25)</f>
        <v>100.864265927978</v>
      </c>
    </row>
    <row r="27" customFormat="false" ht="15" hidden="false" customHeight="false" outlineLevel="0" collapsed="false">
      <c r="A27" s="66" t="n">
        <v>46279</v>
      </c>
      <c r="B27" s="25" t="n">
        <v>4958</v>
      </c>
      <c r="C27" s="25" t="n">
        <v>3.72</v>
      </c>
      <c r="D27" s="25" t="n">
        <v>79.2</v>
      </c>
      <c r="E27" s="25" t="n">
        <v>4697</v>
      </c>
      <c r="F27" s="60" t="n">
        <f aca="false">IF(AND(ISNUMBER(B27),ISNUMBER(B26)),LN(B27/B26),"")</f>
        <v>0.00282771345760921</v>
      </c>
      <c r="G27" s="60" t="n">
        <f aca="false">IF(AND(ISNUMBER(C27),ISNUMBER(C26)),LN(C27/C26),"")</f>
        <v>0.00269179166571157</v>
      </c>
      <c r="H27" s="60" t="n">
        <f aca="false">IF(AND(ISNUMBER(D27),ISNUMBER(D26)),LN(D27/D26),"")</f>
        <v>0.0211823665775972</v>
      </c>
      <c r="I27" s="60" t="n">
        <f aca="false">IF(AND(ISNUMBER(E27),ISNUMBER(E26)),LN(E27/E26),"")</f>
        <v>0.0314671580816517</v>
      </c>
      <c r="J27" s="42" t="n">
        <f aca="false">IF(ISNUMBER(B27),B27/B$7*100,J26)</f>
        <v>101.121762186416</v>
      </c>
      <c r="K27" s="42" t="n">
        <f aca="false">IF(ISNUMBER(C27),C27/C$7*100,K26)</f>
        <v>101.362397820164</v>
      </c>
      <c r="L27" s="42" t="n">
        <f aca="false">IF(ISNUMBER(D27),D27/D$7*100,L26)</f>
        <v>100.62253843222</v>
      </c>
      <c r="M27" s="42" t="n">
        <f aca="false">IF(ISNUMBER(E27),E27/E$7*100,M26)</f>
        <v>104.08864265928</v>
      </c>
    </row>
    <row r="28" customFormat="false" ht="15" hidden="false" customHeight="false" outlineLevel="0" collapsed="false">
      <c r="A28" s="66" t="n">
        <v>46280</v>
      </c>
      <c r="B28" s="25" t="n">
        <v>4998</v>
      </c>
      <c r="C28" s="25" t="n">
        <v>3.7</v>
      </c>
      <c r="D28" s="25" t="n">
        <v>77.89</v>
      </c>
      <c r="E28" s="25" t="n">
        <v>4641.5</v>
      </c>
      <c r="F28" s="60" t="n">
        <f aca="false">IF(AND(ISNUMBER(B28),ISNUMBER(B27)),LN(B28/B27),"")</f>
        <v>0.00803539879976196</v>
      </c>
      <c r="G28" s="60" t="n">
        <f aca="false">IF(AND(ISNUMBER(C28),ISNUMBER(C27)),LN(C28/C27),"")</f>
        <v>-0.00539084863487642</v>
      </c>
      <c r="H28" s="60" t="n">
        <f aca="false">IF(AND(ISNUMBER(D28),ISNUMBER(D27)),LN(D28/D27),"")</f>
        <v>-0.016678723888523</v>
      </c>
      <c r="I28" s="60" t="n">
        <f aca="false">IF(AND(ISNUMBER(E28),ISNUMBER(E27)),LN(E28/E27),"")</f>
        <v>-0.0118864171870079</v>
      </c>
      <c r="J28" s="42" t="n">
        <f aca="false">IF(ISNUMBER(B28),B28/B$7*100,J27)</f>
        <v>101.937589231083</v>
      </c>
      <c r="K28" s="42" t="n">
        <f aca="false">IF(ISNUMBER(C28),C28/C$7*100,K27)</f>
        <v>100.817438692098</v>
      </c>
      <c r="L28" s="42" t="n">
        <f aca="false">IF(ISNUMBER(D28),D28/D$7*100,L27)</f>
        <v>98.9582009909796</v>
      </c>
      <c r="M28" s="42" t="n">
        <f aca="false">IF(ISNUMBER(E28),E28/E$7*100,M27)</f>
        <v>102.858725761773</v>
      </c>
    </row>
    <row r="29" customFormat="false" ht="15" hidden="false" customHeight="false" outlineLevel="0" collapsed="false">
      <c r="A29" s="66" t="n">
        <v>46281</v>
      </c>
      <c r="B29" s="25"/>
      <c r="C29" s="25" t="n">
        <v>3.71</v>
      </c>
      <c r="D29" s="25" t="n">
        <v>77.66</v>
      </c>
      <c r="E29" s="25" t="n">
        <v>4640</v>
      </c>
      <c r="F29" s="60" t="str">
        <f aca="false">IF(AND(ISNUMBER(B29),ISNUMBER(B28)),LN(B29/B28),"")</f>
        <v/>
      </c>
      <c r="G29" s="60" t="n">
        <f aca="false">IF(AND(ISNUMBER(C29),ISNUMBER(C28)),LN(C29/C28),"")</f>
        <v>0.00269905696916498</v>
      </c>
      <c r="H29" s="60" t="n">
        <f aca="false">IF(AND(ISNUMBER(D29),ISNUMBER(D28)),LN(D29/D28),"")</f>
        <v>-0.00295725062833593</v>
      </c>
      <c r="I29" s="60" t="n">
        <f aca="false">IF(AND(ISNUMBER(E29),ISNUMBER(E28)),LN(E29/E28),"")</f>
        <v>-0.000323223619686316</v>
      </c>
      <c r="J29" s="42" t="n">
        <f aca="false">IF(ISNUMBER(B29),B29/B$7*100,J28)</f>
        <v>101.937589231083</v>
      </c>
      <c r="K29" s="42" t="n">
        <f aca="false">IF(ISNUMBER(C29),C29/C$7*100,K28)</f>
        <v>101.089918256131</v>
      </c>
      <c r="L29" s="42" t="n">
        <f aca="false">IF(ISNUMBER(D29),D29/D$7*100,L28)</f>
        <v>98.6659890738153</v>
      </c>
      <c r="M29" s="42" t="n">
        <f aca="false">IF(ISNUMBER(E29),E29/E$7*100,M28)</f>
        <v>102.825484764543</v>
      </c>
    </row>
    <row r="30" customFormat="false" ht="15" hidden="false" customHeight="false" outlineLevel="0" collapsed="false">
      <c r="A30" s="66" t="n">
        <v>46282</v>
      </c>
      <c r="B30" s="25" t="n">
        <v>4936</v>
      </c>
      <c r="C30" s="25" t="n">
        <v>3.73</v>
      </c>
      <c r="D30" s="25" t="n">
        <v>78.33</v>
      </c>
      <c r="E30" s="25" t="n">
        <v>4632.5</v>
      </c>
      <c r="F30" s="60" t="str">
        <f aca="false">IF(AND(ISNUMBER(B30),ISNUMBER(B29)),LN(B30/B29),"")</f>
        <v/>
      </c>
      <c r="G30" s="60" t="n">
        <f aca="false">IF(AND(ISNUMBER(C30),ISNUMBER(C29)),LN(C30/C29),"")</f>
        <v>0.0053763570363805</v>
      </c>
      <c r="H30" s="60" t="n">
        <f aca="false">IF(AND(ISNUMBER(D30),ISNUMBER(D29)),LN(D30/D29),"")</f>
        <v>0.008590347075626</v>
      </c>
      <c r="I30" s="60" t="n">
        <f aca="false">IF(AND(ISNUMBER(E30),ISNUMBER(E29)),LN(E30/E29),"")</f>
        <v>-0.00161768706078614</v>
      </c>
      <c r="J30" s="42" t="n">
        <f aca="false">IF(ISNUMBER(B30),B30/B$7*100,J29)</f>
        <v>100.67305731185</v>
      </c>
      <c r="K30" s="42" t="n">
        <f aca="false">IF(ISNUMBER(C30),C30/C$7*100,K29)</f>
        <v>101.634877384196</v>
      </c>
      <c r="L30" s="42" t="n">
        <f aca="false">IF(ISNUMBER(D30),D30/D$7*100,L29)</f>
        <v>99.5172150933808</v>
      </c>
      <c r="M30" s="42" t="n">
        <f aca="false">IF(ISNUMBER(E30),E30/E$7*100,M29)</f>
        <v>102.659279778393</v>
      </c>
    </row>
    <row r="31" customFormat="false" ht="15" hidden="false" customHeight="false" outlineLevel="0" collapsed="false">
      <c r="A31" s="66" t="n">
        <v>46283</v>
      </c>
      <c r="B31" s="25" t="n">
        <v>4898</v>
      </c>
      <c r="C31" s="25" t="n">
        <v>3.68</v>
      </c>
      <c r="D31" s="25" t="n">
        <v>76.27</v>
      </c>
      <c r="E31" s="25" t="n">
        <v>4621</v>
      </c>
      <c r="F31" s="60" t="n">
        <f aca="false">IF(AND(ISNUMBER(B31),ISNUMBER(B30)),LN(B31/B30),"")</f>
        <v>-0.00772832807311072</v>
      </c>
      <c r="G31" s="60" t="n">
        <f aca="false">IF(AND(ISNUMBER(C31),ISNUMBER(C30)),LN(C31/C30),"")</f>
        <v>-0.0134954814748845</v>
      </c>
      <c r="H31" s="60" t="n">
        <f aca="false">IF(AND(ISNUMBER(D31),ISNUMBER(D30)),LN(D31/D30),"")</f>
        <v>-0.026650995203</v>
      </c>
      <c r="I31" s="60" t="n">
        <f aca="false">IF(AND(ISNUMBER(E31),ISNUMBER(E30)),LN(E31/E30),"")</f>
        <v>-0.00248554728924847</v>
      </c>
      <c r="J31" s="42" t="n">
        <f aca="false">IF(ISNUMBER(B31),B31/B$7*100,J30)</f>
        <v>99.8980216194167</v>
      </c>
      <c r="K31" s="42" t="n">
        <f aca="false">IF(ISNUMBER(C31),C31/C$7*100,K30)</f>
        <v>100.272479564033</v>
      </c>
      <c r="L31" s="42" t="n">
        <f aca="false">IF(ISNUMBER(D31),D31/D$7*100,L30)</f>
        <v>96.900012704866</v>
      </c>
      <c r="M31" s="42" t="n">
        <f aca="false">IF(ISNUMBER(E31),E31/E$7*100,M30)</f>
        <v>102.404432132964</v>
      </c>
    </row>
    <row r="32" customFormat="false" ht="15" hidden="false" customHeight="false" outlineLevel="0" collapsed="false">
      <c r="A32" s="66" t="n">
        <v>46286</v>
      </c>
      <c r="B32" s="25" t="n">
        <v>4857</v>
      </c>
      <c r="C32" s="25" t="n">
        <v>3.65</v>
      </c>
      <c r="D32" s="25" t="n">
        <v>77.1</v>
      </c>
      <c r="E32" s="25" t="n">
        <v>4642.5</v>
      </c>
      <c r="F32" s="60" t="n">
        <f aca="false">IF(AND(ISNUMBER(B32),ISNUMBER(B31)),LN(B32/B31),"")</f>
        <v>-0.00840599516636823</v>
      </c>
      <c r="G32" s="60" t="n">
        <f aca="false">IF(AND(ISNUMBER(C32),ISNUMBER(C31)),LN(C32/C31),"")</f>
        <v>-0.00818558458643952</v>
      </c>
      <c r="H32" s="60" t="n">
        <f aca="false">IF(AND(ISNUMBER(D32),ISNUMBER(D31)),LN(D32/D31),"")</f>
        <v>0.0108236043931366</v>
      </c>
      <c r="I32" s="60" t="n">
        <f aca="false">IF(AND(ISNUMBER(E32),ISNUMBER(E31)),LN(E32/E31),"")</f>
        <v>0.00464188235659442</v>
      </c>
      <c r="J32" s="42" t="n">
        <f aca="false">IF(ISNUMBER(B32),B32/B$7*100,J31)</f>
        <v>99.0617988986335</v>
      </c>
      <c r="K32" s="42" t="n">
        <f aca="false">IF(ISNUMBER(C32),C32/C$7*100,K31)</f>
        <v>99.4550408719346</v>
      </c>
      <c r="L32" s="42" t="n">
        <f aca="false">IF(ISNUMBER(D32),D32/D$7*100,L31)</f>
        <v>97.9545165798501</v>
      </c>
      <c r="M32" s="42" t="n">
        <f aca="false">IF(ISNUMBER(E32),E32/E$7*100,M31)</f>
        <v>102.880886426593</v>
      </c>
    </row>
    <row r="33" customFormat="false" ht="15" hidden="false" customHeight="false" outlineLevel="0" collapsed="false">
      <c r="A33" s="66" t="n">
        <v>46287</v>
      </c>
      <c r="B33" s="25" t="n">
        <v>4810</v>
      </c>
      <c r="C33" s="25" t="n">
        <v>3.65</v>
      </c>
      <c r="D33" s="25" t="n">
        <v>77.09</v>
      </c>
      <c r="E33" s="25" t="n">
        <v>4698</v>
      </c>
      <c r="F33" s="60" t="n">
        <f aca="false">IF(AND(ISNUMBER(B33),ISNUMBER(B32)),LN(B33/B32),"")</f>
        <v>-0.00972387924593792</v>
      </c>
      <c r="G33" s="60" t="n">
        <f aca="false">IF(AND(ISNUMBER(C33),ISNUMBER(C32)),LN(C33/C32),"")</f>
        <v>0</v>
      </c>
      <c r="H33" s="60" t="n">
        <f aca="false">IF(AND(ISNUMBER(D33),ISNUMBER(D32)),LN(D33/D32),"")</f>
        <v>-0.000129710098112874</v>
      </c>
      <c r="I33" s="60" t="n">
        <f aca="false">IF(AND(ISNUMBER(E33),ISNUMBER(E32)),LN(E33/E32),"")</f>
        <v>0.0118838719919972</v>
      </c>
      <c r="J33" s="42" t="n">
        <f aca="false">IF(ISNUMBER(B33),B33/B$7*100,J32)</f>
        <v>98.1032021211503</v>
      </c>
      <c r="K33" s="42" t="n">
        <f aca="false">IF(ISNUMBER(C33),C33/C$7*100,K32)</f>
        <v>99.4550408719346</v>
      </c>
      <c r="L33" s="42" t="n">
        <f aca="false">IF(ISNUMBER(D33),D33/D$7*100,L32)</f>
        <v>97.9418117138864</v>
      </c>
      <c r="M33" s="42" t="n">
        <f aca="false">IF(ISNUMBER(E33),E33/E$7*100,M32)</f>
        <v>104.1108033241</v>
      </c>
    </row>
    <row r="34" customFormat="false" ht="15" hidden="false" customHeight="false" outlineLevel="0" collapsed="false">
      <c r="A34" s="66" t="n">
        <v>46288</v>
      </c>
      <c r="B34" s="25" t="n">
        <v>4768</v>
      </c>
      <c r="C34" s="25" t="n">
        <v>3.67</v>
      </c>
      <c r="D34" s="25" t="n">
        <v>77.1</v>
      </c>
      <c r="E34" s="25" t="n">
        <v>4677</v>
      </c>
      <c r="F34" s="60" t="n">
        <f aca="false">IF(AND(ISNUMBER(B34),ISNUMBER(B33)),LN(B34/B33),"")</f>
        <v>-0.00877015435462112</v>
      </c>
      <c r="G34" s="60" t="n">
        <f aca="false">IF(AND(ISNUMBER(C34),ISNUMBER(C33)),LN(C34/C33),"")</f>
        <v>0.00546449447207875</v>
      </c>
      <c r="H34" s="60" t="n">
        <f aca="false">IF(AND(ISNUMBER(D34),ISNUMBER(D33)),LN(D34/D33),"")</f>
        <v>0.000129710098112812</v>
      </c>
      <c r="I34" s="60" t="n">
        <f aca="false">IF(AND(ISNUMBER(E34),ISNUMBER(E33)),LN(E34/E33),"")</f>
        <v>-0.00448000749297189</v>
      </c>
      <c r="J34" s="42" t="n">
        <f aca="false">IF(ISNUMBER(B34),B34/B$7*100,J33)</f>
        <v>97.2465837242505</v>
      </c>
      <c r="K34" s="42" t="n">
        <f aca="false">IF(ISNUMBER(C34),C34/C$7*100,K33)</f>
        <v>100</v>
      </c>
      <c r="L34" s="42" t="n">
        <f aca="false">IF(ISNUMBER(D34),D34/D$7*100,L33)</f>
        <v>97.9545165798501</v>
      </c>
      <c r="M34" s="42" t="n">
        <f aca="false">IF(ISNUMBER(E34),E34/E$7*100,M33)</f>
        <v>103.645429362881</v>
      </c>
    </row>
    <row r="35" customFormat="false" ht="15" hidden="false" customHeight="false" outlineLevel="0" collapsed="false">
      <c r="A35" s="66" t="n">
        <v>46289</v>
      </c>
      <c r="B35" s="25" t="n">
        <v>4772</v>
      </c>
      <c r="C35" s="25" t="n">
        <v>3.65</v>
      </c>
      <c r="D35" s="25" t="n">
        <v>77.94</v>
      </c>
      <c r="E35" s="25" t="n">
        <v>4708.5</v>
      </c>
      <c r="F35" s="60" t="n">
        <f aca="false">IF(AND(ISNUMBER(B35),ISNUMBER(B34)),LN(B35/B34),"")</f>
        <v>0.000838574472620946</v>
      </c>
      <c r="G35" s="60" t="n">
        <f aca="false">IF(AND(ISNUMBER(C35),ISNUMBER(C34)),LN(C35/C34),"")</f>
        <v>-0.00546449447207874</v>
      </c>
      <c r="H35" s="60" t="n">
        <f aca="false">IF(AND(ISNUMBER(D35),ISNUMBER(D34)),LN(D35/D34),"")</f>
        <v>0.0108360193412793</v>
      </c>
      <c r="I35" s="60" t="n">
        <f aca="false">IF(AND(ISNUMBER(E35),ISNUMBER(E34)),LN(E35/E34),"")</f>
        <v>0.00671250722423183</v>
      </c>
      <c r="J35" s="42" t="n">
        <f aca="false">IF(ISNUMBER(B35),B35/B$7*100,J34)</f>
        <v>97.3281664287171</v>
      </c>
      <c r="K35" s="42" t="n">
        <f aca="false">IF(ISNUMBER(C35),C35/C$7*100,K34)</f>
        <v>99.4550408719346</v>
      </c>
      <c r="L35" s="42" t="n">
        <f aca="false">IF(ISNUMBER(D35),D35/D$7*100,L34)</f>
        <v>99.0217253207979</v>
      </c>
      <c r="M35" s="42" t="n">
        <f aca="false">IF(ISNUMBER(E35),E35/E$7*100,M34)</f>
        <v>104.343490304709</v>
      </c>
    </row>
    <row r="36" customFormat="false" ht="15" hidden="false" customHeight="false" outlineLevel="0" collapsed="false">
      <c r="A36" s="66" t="n">
        <v>46290</v>
      </c>
      <c r="B36" s="25" t="n">
        <v>4672</v>
      </c>
      <c r="C36" s="25" t="n">
        <v>3.68</v>
      </c>
      <c r="D36" s="25" t="n">
        <v>77.17</v>
      </c>
      <c r="E36" s="25" t="n">
        <v>4664.5</v>
      </c>
      <c r="F36" s="60" t="n">
        <f aca="false">IF(AND(ISNUMBER(B36),ISNUMBER(B35)),LN(B36/B35),"")</f>
        <v>-0.0211782587097438</v>
      </c>
      <c r="G36" s="60" t="n">
        <f aca="false">IF(AND(ISNUMBER(C36),ISNUMBER(C35)),LN(C36/C35),"")</f>
        <v>0.0081855845864395</v>
      </c>
      <c r="H36" s="60" t="n">
        <f aca="false">IF(AND(ISNUMBER(D36),ISNUMBER(D35)),LN(D36/D35),"")</f>
        <v>-0.0099285194410514</v>
      </c>
      <c r="I36" s="60" t="n">
        <f aca="false">IF(AND(ISNUMBER(E36),ISNUMBER(E35)),LN(E36/E35),"")</f>
        <v>-0.00938873854910225</v>
      </c>
      <c r="J36" s="42" t="n">
        <f aca="false">IF(ISNUMBER(B36),B36/B$7*100,J35)</f>
        <v>95.2885988170508</v>
      </c>
      <c r="K36" s="42" t="n">
        <f aca="false">IF(ISNUMBER(C36),C36/C$7*100,K35)</f>
        <v>100.272479564033</v>
      </c>
      <c r="L36" s="42" t="n">
        <f aca="false">IF(ISNUMBER(D36),D36/D$7*100,L35)</f>
        <v>98.0434506415957</v>
      </c>
      <c r="M36" s="42" t="n">
        <f aca="false">IF(ISNUMBER(E36),E36/E$7*100,M35)</f>
        <v>103.368421052632</v>
      </c>
    </row>
    <row r="37" customFormat="false" ht="15" hidden="false" customHeight="false" outlineLevel="0" collapsed="false">
      <c r="A37" s="66" t="n">
        <v>46293</v>
      </c>
      <c r="B37" s="25" t="n">
        <v>4664</v>
      </c>
      <c r="C37" s="25" t="n">
        <v>3.61</v>
      </c>
      <c r="D37" s="25" t="n">
        <v>77</v>
      </c>
      <c r="E37" s="25" t="n">
        <v>4671</v>
      </c>
      <c r="F37" s="60" t="n">
        <f aca="false">IF(AND(ISNUMBER(B37),ISNUMBER(B36)),LN(B37/B36),"")</f>
        <v>-0.00171379647773463</v>
      </c>
      <c r="G37" s="60" t="n">
        <f aca="false">IF(AND(ISNUMBER(C37),ISNUMBER(C36)),LN(C37/C36),"")</f>
        <v>-0.01920497983605</v>
      </c>
      <c r="H37" s="60" t="n">
        <f aca="false">IF(AND(ISNUMBER(D37),ISNUMBER(D36)),LN(D37/D36),"")</f>
        <v>-0.00220535861582783</v>
      </c>
      <c r="I37" s="60" t="n">
        <f aca="false">IF(AND(ISNUMBER(E37),ISNUMBER(E36)),LN(E37/E36),"")</f>
        <v>0.00139253410109219</v>
      </c>
      <c r="J37" s="42" t="n">
        <f aca="false">IF(ISNUMBER(B37),B37/B$7*100,J36)</f>
        <v>95.1254334081175</v>
      </c>
      <c r="K37" s="42" t="n">
        <f aca="false">IF(ISNUMBER(C37),C37/C$7*100,K36)</f>
        <v>98.3651226158038</v>
      </c>
      <c r="L37" s="42" t="n">
        <f aca="false">IF(ISNUMBER(D37),D37/D$7*100,L36)</f>
        <v>97.8274679202135</v>
      </c>
      <c r="M37" s="42" t="n">
        <f aca="false">IF(ISNUMBER(E37),E37/E$7*100,M36)</f>
        <v>103.512465373961</v>
      </c>
    </row>
    <row r="38" customFormat="false" ht="15" hidden="false" customHeight="false" outlineLevel="0" collapsed="false">
      <c r="A38" s="66" t="n">
        <v>46294</v>
      </c>
      <c r="B38" s="25" t="n">
        <v>4624</v>
      </c>
      <c r="C38" s="25" t="n">
        <v>3.58</v>
      </c>
      <c r="D38" s="25" t="n">
        <v>76.26</v>
      </c>
      <c r="E38" s="25" t="n">
        <v>4615.5</v>
      </c>
      <c r="F38" s="60" t="n">
        <f aca="false">IF(AND(ISNUMBER(B38),ISNUMBER(B37)),LN(B38/B37),"")</f>
        <v>-0.00861331767811495</v>
      </c>
      <c r="G38" s="60" t="n">
        <f aca="false">IF(AND(ISNUMBER(C38),ISNUMBER(C37)),LN(C38/C37),"")</f>
        <v>-0.00834497193218053</v>
      </c>
      <c r="H38" s="60" t="n">
        <f aca="false">IF(AND(ISNUMBER(D38),ISNUMBER(D37)),LN(D38/D37),"")</f>
        <v>-0.00965686742426607</v>
      </c>
      <c r="I38" s="60" t="n">
        <f aca="false">IF(AND(ISNUMBER(E38),ISNUMBER(E37)),LN(E38/E37),"")</f>
        <v>-0.0119529770719018</v>
      </c>
      <c r="J38" s="42" t="n">
        <f aca="false">IF(ISNUMBER(B38),B38/B$7*100,J37)</f>
        <v>94.309606363451</v>
      </c>
      <c r="K38" s="42" t="n">
        <f aca="false">IF(ISNUMBER(C38),C38/C$7*100,K37)</f>
        <v>97.5476839237057</v>
      </c>
      <c r="L38" s="42" t="n">
        <f aca="false">IF(ISNUMBER(D38),D38/D$7*100,L37)</f>
        <v>96.8873078389023</v>
      </c>
      <c r="M38" s="42" t="n">
        <f aca="false">IF(ISNUMBER(E38),E38/E$7*100,M37)</f>
        <v>102.282548476454</v>
      </c>
    </row>
    <row r="39" customFormat="false" ht="15" hidden="false" customHeight="false" outlineLevel="0" collapsed="false">
      <c r="A39" s="66" t="n">
        <v>46295</v>
      </c>
      <c r="B39" s="25" t="n">
        <v>4610</v>
      </c>
      <c r="C39" s="25" t="n">
        <v>3.61</v>
      </c>
      <c r="D39" s="25" t="n">
        <v>76.02</v>
      </c>
      <c r="E39" s="25" t="n">
        <v>4603.5</v>
      </c>
      <c r="F39" s="60" t="n">
        <f aca="false">IF(AND(ISNUMBER(B39),ISNUMBER(B38)),LN(B39/B38),"")</f>
        <v>-0.00303227436151916</v>
      </c>
      <c r="G39" s="60" t="n">
        <f aca="false">IF(AND(ISNUMBER(C39),ISNUMBER(C38)),LN(C39/C38),"")</f>
        <v>0.00834497193218047</v>
      </c>
      <c r="H39" s="60" t="n">
        <f aca="false">IF(AND(ISNUMBER(D39),ISNUMBER(D38)),LN(D39/D38),"")</f>
        <v>-0.00315209086831513</v>
      </c>
      <c r="I39" s="60" t="n">
        <f aca="false">IF(AND(ISNUMBER(E39),ISNUMBER(E38)),LN(E39/E38),"")</f>
        <v>-0.00260332070230562</v>
      </c>
      <c r="J39" s="42" t="n">
        <f aca="false">IF(ISNUMBER(B39),B39/B$7*100,J38)</f>
        <v>94.0240668978177</v>
      </c>
      <c r="K39" s="42" t="n">
        <f aca="false">IF(ISNUMBER(C39),C39/C$7*100,K38)</f>
        <v>98.3651226158038</v>
      </c>
      <c r="L39" s="42" t="n">
        <f aca="false">IF(ISNUMBER(D39),D39/D$7*100,L38)</f>
        <v>96.5823910557744</v>
      </c>
      <c r="M39" s="42" t="n">
        <f aca="false">IF(ISNUMBER(E39),E39/E$7*100,M38)</f>
        <v>102.016620498615</v>
      </c>
    </row>
    <row r="40" customFormat="false" ht="15" hidden="false" customHeight="false" outlineLevel="0" collapsed="false">
      <c r="A40" s="66" t="n">
        <v>46296</v>
      </c>
      <c r="B40" s="25" t="n">
        <v>4554</v>
      </c>
      <c r="C40" s="25" t="n">
        <v>3.51</v>
      </c>
      <c r="D40" s="25" t="n">
        <v>74.63</v>
      </c>
      <c r="E40" s="25" t="n">
        <v>4494</v>
      </c>
      <c r="F40" s="60" t="n">
        <f aca="false">IF(AND(ISNUMBER(B40),ISNUMBER(B39)),LN(B40/B39),"")</f>
        <v>-0.0122218893670093</v>
      </c>
      <c r="G40" s="60" t="n">
        <f aca="false">IF(AND(ISNUMBER(C40),ISNUMBER(C39)),LN(C40/C39),"")</f>
        <v>-0.0280917348670152</v>
      </c>
      <c r="H40" s="60" t="n">
        <f aca="false">IF(AND(ISNUMBER(D40),ISNUMBER(D39)),LN(D40/D39),"")</f>
        <v>-0.0184538924178067</v>
      </c>
      <c r="I40" s="60" t="n">
        <f aca="false">IF(AND(ISNUMBER(E40),ISNUMBER(E39)),LN(E40/E39),"")</f>
        <v>-0.0240737099826261</v>
      </c>
      <c r="J40" s="42" t="n">
        <f aca="false">IF(ISNUMBER(B40),B40/B$7*100,J39)</f>
        <v>92.8819090352845</v>
      </c>
      <c r="K40" s="42" t="n">
        <f aca="false">IF(ISNUMBER(C40),C40/C$7*100,K39)</f>
        <v>95.6403269754768</v>
      </c>
      <c r="L40" s="42" t="n">
        <f aca="false">IF(ISNUMBER(D40),D40/D$7*100,L39)</f>
        <v>94.8164146868251</v>
      </c>
      <c r="M40" s="42" t="n">
        <f aca="false">IF(ISNUMBER(E40),E40/E$7*100,M39)</f>
        <v>99.590027700831</v>
      </c>
    </row>
    <row r="41" customFormat="false" ht="15" hidden="false" customHeight="false" outlineLevel="0" collapsed="false">
      <c r="A41" s="66" t="n">
        <v>46297</v>
      </c>
      <c r="B41" s="25" t="n">
        <v>4535</v>
      </c>
      <c r="C41" s="25" t="n">
        <v>3.47</v>
      </c>
      <c r="D41" s="25" t="n">
        <v>74.78</v>
      </c>
      <c r="E41" s="25" t="n">
        <v>4483.5</v>
      </c>
      <c r="F41" s="60" t="n">
        <f aca="false">IF(AND(ISNUMBER(B41),ISNUMBER(B40)),LN(B41/B40),"")</f>
        <v>-0.00418088407444794</v>
      </c>
      <c r="G41" s="60" t="n">
        <f aca="false">IF(AND(ISNUMBER(C41),ISNUMBER(C40)),LN(C41/C40),"")</f>
        <v>-0.0114614435190065</v>
      </c>
      <c r="H41" s="60" t="n">
        <f aca="false">IF(AND(ISNUMBER(D41),ISNUMBER(D40)),LN(D41/D40),"")</f>
        <v>0.00200789840567168</v>
      </c>
      <c r="I41" s="60" t="n">
        <f aca="false">IF(AND(ISNUMBER(E41),ISNUMBER(E40)),LN(E41/E40),"")</f>
        <v>-0.00233918235317227</v>
      </c>
      <c r="J41" s="42" t="n">
        <f aca="false">IF(ISNUMBER(B41),B41/B$7*100,J40)</f>
        <v>92.4943911890679</v>
      </c>
      <c r="K41" s="42" t="n">
        <f aca="false">IF(ISNUMBER(C41),C41/C$7*100,K40)</f>
        <v>94.5504087193461</v>
      </c>
      <c r="L41" s="42" t="n">
        <f aca="false">IF(ISNUMBER(D41),D41/D$7*100,L40)</f>
        <v>95.00698767628</v>
      </c>
      <c r="M41" s="42" t="n">
        <f aca="false">IF(ISNUMBER(E41),E41/E$7*100,M40)</f>
        <v>99.3573407202216</v>
      </c>
    </row>
    <row r="42" customFormat="false" ht="15" hidden="false" customHeight="false" outlineLevel="0" collapsed="false">
      <c r="A42" s="66" t="n">
        <v>46300</v>
      </c>
      <c r="B42" s="25" t="n">
        <v>4578</v>
      </c>
      <c r="C42" s="25" t="n">
        <v>3.48</v>
      </c>
      <c r="D42" s="25" t="n">
        <v>74.48</v>
      </c>
      <c r="E42" s="25" t="n">
        <v>4500.5</v>
      </c>
      <c r="F42" s="60" t="n">
        <f aca="false">IF(AND(ISNUMBER(B42),ISNUMBER(B41)),LN(B42/B41),"")</f>
        <v>0.00943713796327496</v>
      </c>
      <c r="G42" s="60" t="n">
        <f aca="false">IF(AND(ISNUMBER(C42),ISNUMBER(C41)),LN(C42/C41),"")</f>
        <v>0.00287769982761497</v>
      </c>
      <c r="H42" s="60" t="n">
        <f aca="false">IF(AND(ISNUMBER(D42),ISNUMBER(D41)),LN(D42/D41),"")</f>
        <v>-0.00401983658015599</v>
      </c>
      <c r="I42" s="60" t="n">
        <f aca="false">IF(AND(ISNUMBER(E42),ISNUMBER(E41)),LN(E42/E41),"")</f>
        <v>0.0037845103050377</v>
      </c>
      <c r="J42" s="42" t="n">
        <f aca="false">IF(ISNUMBER(B42),B42/B$7*100,J41)</f>
        <v>93.3714052620844</v>
      </c>
      <c r="K42" s="42" t="n">
        <f aca="false">IF(ISNUMBER(C42),C42/C$7*100,K41)</f>
        <v>94.8228882833788</v>
      </c>
      <c r="L42" s="42" t="n">
        <f aca="false">IF(ISNUMBER(D42),D42/D$7*100,L41)</f>
        <v>94.6258416973701</v>
      </c>
      <c r="M42" s="42" t="n">
        <f aca="false">IF(ISNUMBER(E42),E42/E$7*100,M41)</f>
        <v>99.7340720221607</v>
      </c>
    </row>
    <row r="43" customFormat="false" ht="15" hidden="false" customHeight="false" outlineLevel="0" collapsed="false">
      <c r="A43" s="66" t="n">
        <v>46301</v>
      </c>
      <c r="B43" s="25" t="n">
        <v>4560</v>
      </c>
      <c r="C43" s="25" t="n">
        <v>3.6</v>
      </c>
      <c r="D43" s="25" t="n">
        <v>75.2</v>
      </c>
      <c r="E43" s="25" t="n">
        <v>4569</v>
      </c>
      <c r="F43" s="60" t="n">
        <f aca="false">IF(AND(ISNUMBER(B43),ISNUMBER(B42)),LN(B43/B42),"")</f>
        <v>-0.0039395980040802</v>
      </c>
      <c r="G43" s="60" t="n">
        <f aca="false">IF(AND(ISNUMBER(C43),ISNUMBER(C42)),LN(C43/C42),"")</f>
        <v>0.0339015516756814</v>
      </c>
      <c r="H43" s="60" t="n">
        <f aca="false">IF(AND(ISNUMBER(D43),ISNUMBER(D42)),LN(D43/D42),"")</f>
        <v>0.00962059798698249</v>
      </c>
      <c r="I43" s="60" t="n">
        <f aca="false">IF(AND(ISNUMBER(E43),ISNUMBER(E42)),LN(E43/E42),"")</f>
        <v>0.0151058608661317</v>
      </c>
      <c r="J43" s="42" t="n">
        <f aca="false">IF(ISNUMBER(B43),B43/B$7*100,J42)</f>
        <v>93.0042830919845</v>
      </c>
      <c r="K43" s="42" t="n">
        <f aca="false">IF(ISNUMBER(C43),C43/C$7*100,K42)</f>
        <v>98.0926430517711</v>
      </c>
      <c r="L43" s="42" t="n">
        <f aca="false">IF(ISNUMBER(D43),D43/D$7*100,L42)</f>
        <v>95.5405920467539</v>
      </c>
      <c r="M43" s="42" t="n">
        <f aca="false">IF(ISNUMBER(E43),E43/E$7*100,M42)</f>
        <v>101.252077562327</v>
      </c>
    </row>
    <row r="44" customFormat="false" ht="15" hidden="false" customHeight="false" outlineLevel="0" collapsed="false">
      <c r="A44" s="66" t="n">
        <v>46302</v>
      </c>
      <c r="B44" s="25" t="n">
        <v>4524</v>
      </c>
      <c r="C44" s="25" t="n">
        <v>3.6</v>
      </c>
      <c r="D44" s="25" t="n">
        <v>75.56</v>
      </c>
      <c r="E44" s="25" t="n">
        <v>4623</v>
      </c>
      <c r="F44" s="60" t="n">
        <f aca="false">IF(AND(ISNUMBER(B44),ISNUMBER(B43)),LN(B44/B43),"")</f>
        <v>-0.00792606527242072</v>
      </c>
      <c r="G44" s="60" t="n">
        <f aca="false">IF(AND(ISNUMBER(C44),ISNUMBER(C43)),LN(C44/C43),"")</f>
        <v>0</v>
      </c>
      <c r="H44" s="60" t="n">
        <f aca="false">IF(AND(ISNUMBER(D44),ISNUMBER(D43)),LN(D44/D43),"")</f>
        <v>0.00477581167751468</v>
      </c>
      <c r="I44" s="60" t="n">
        <f aca="false">IF(AND(ISNUMBER(E44),ISNUMBER(E43)),LN(E44/E43),"")</f>
        <v>0.0117494824249539</v>
      </c>
      <c r="J44" s="42" t="n">
        <f aca="false">IF(ISNUMBER(B44),B44/B$7*100,J43)</f>
        <v>92.2700387517846</v>
      </c>
      <c r="K44" s="42" t="n">
        <f aca="false">IF(ISNUMBER(C44),C44/C$7*100,K43)</f>
        <v>98.0926430517711</v>
      </c>
      <c r="L44" s="42" t="n">
        <f aca="false">IF(ISNUMBER(D44),D44/D$7*100,L43)</f>
        <v>95.9979672214458</v>
      </c>
      <c r="M44" s="42" t="n">
        <f aca="false">IF(ISNUMBER(E44),E44/E$7*100,M43)</f>
        <v>102.448753462604</v>
      </c>
    </row>
    <row r="45" customFormat="false" ht="15" hidden="false" customHeight="false" outlineLevel="0" collapsed="false">
      <c r="A45" s="66" t="n">
        <v>46303</v>
      </c>
      <c r="B45" s="25" t="n">
        <v>4661</v>
      </c>
      <c r="C45" s="25" t="n">
        <v>3.53</v>
      </c>
      <c r="D45" s="25" t="n">
        <v>76</v>
      </c>
      <c r="E45" s="25" t="n">
        <v>4626</v>
      </c>
      <c r="F45" s="60" t="n">
        <f aca="false">IF(AND(ISNUMBER(B45),ISNUMBER(B44)),LN(B45/B44),"")</f>
        <v>0.0298334591367299</v>
      </c>
      <c r="G45" s="60" t="n">
        <f aca="false">IF(AND(ISNUMBER(C45),ISNUMBER(C44)),LN(C45/C44),"")</f>
        <v>-0.019635974516859</v>
      </c>
      <c r="H45" s="60" t="n">
        <f aca="false">IF(AND(ISNUMBER(D45),ISNUMBER(D44)),LN(D45/D44),"")</f>
        <v>0.00580629765302229</v>
      </c>
      <c r="I45" s="60" t="n">
        <f aca="false">IF(AND(ISNUMBER(E45),ISNUMBER(E44)),LN(E45/E44),"")</f>
        <v>0.000648718803159128</v>
      </c>
      <c r="J45" s="42" t="n">
        <f aca="false">IF(ISNUMBER(B45),B45/B$7*100,J44)</f>
        <v>95.0642463797675</v>
      </c>
      <c r="K45" s="42" t="n">
        <f aca="false">IF(ISNUMBER(C45),C45/C$7*100,K44)</f>
        <v>96.1852861035422</v>
      </c>
      <c r="L45" s="42" t="n">
        <f aca="false">IF(ISNUMBER(D45),D45/D$7*100,L44)</f>
        <v>96.556981323847</v>
      </c>
      <c r="M45" s="42" t="n">
        <f aca="false">IF(ISNUMBER(E45),E45/E$7*100,M44)</f>
        <v>102.515235457064</v>
      </c>
    </row>
    <row r="46" customFormat="false" ht="15" hidden="false" customHeight="false" outlineLevel="0" collapsed="false">
      <c r="A46" s="66" t="n">
        <v>46304</v>
      </c>
      <c r="B46" s="25" t="n">
        <v>4592</v>
      </c>
      <c r="C46" s="25" t="n">
        <v>3.55</v>
      </c>
      <c r="D46" s="25" t="n">
        <v>76.04</v>
      </c>
      <c r="E46" s="25" t="n">
        <v>4673.5</v>
      </c>
      <c r="F46" s="60" t="n">
        <f aca="false">IF(AND(ISNUMBER(B46),ISNUMBER(B45)),LN(B46/B45),"")</f>
        <v>-0.0149143583733386</v>
      </c>
      <c r="G46" s="60" t="n">
        <f aca="false">IF(AND(ISNUMBER(C46),ISNUMBER(C45)),LN(C46/C45),"")</f>
        <v>0.00564973254211913</v>
      </c>
      <c r="H46" s="60" t="n">
        <f aca="false">IF(AND(ISNUMBER(D46),ISNUMBER(D45)),LN(D46/D45),"")</f>
        <v>0.000526177333897357</v>
      </c>
      <c r="I46" s="60" t="n">
        <f aca="false">IF(AND(ISNUMBER(E46),ISNUMBER(E45)),LN(E46/E45),"")</f>
        <v>0.0102156918312536</v>
      </c>
      <c r="J46" s="42" t="n">
        <f aca="false">IF(ISNUMBER(B46),B46/B$7*100,J45)</f>
        <v>93.6569447277177</v>
      </c>
      <c r="K46" s="42" t="n">
        <f aca="false">IF(ISNUMBER(C46),C46/C$7*100,K45)</f>
        <v>96.7302452316076</v>
      </c>
      <c r="L46" s="42" t="n">
        <f aca="false">IF(ISNUMBER(D46),D46/D$7*100,L45)</f>
        <v>96.6078007877017</v>
      </c>
      <c r="M46" s="42" t="n">
        <f aca="false">IF(ISNUMBER(E46),E46/E$7*100,M45)</f>
        <v>103.567867036011</v>
      </c>
    </row>
    <row r="47" customFormat="false" ht="15" hidden="false" customHeight="false" outlineLevel="0" collapsed="false">
      <c r="A47" s="66" t="n">
        <v>46307</v>
      </c>
      <c r="B47" s="25" t="n">
        <v>4637</v>
      </c>
      <c r="C47" s="25"/>
      <c r="D47" s="25"/>
      <c r="E47" s="25" t="n">
        <v>4738</v>
      </c>
      <c r="F47" s="60" t="n">
        <f aca="false">IF(AND(ISNUMBER(B47),ISNUMBER(B46)),LN(B47/B46),"")</f>
        <v>0.00975194639205839</v>
      </c>
      <c r="G47" s="60" t="str">
        <f aca="false">IF(AND(ISNUMBER(C47),ISNUMBER(C46)),LN(C47/C46),"")</f>
        <v/>
      </c>
      <c r="H47" s="60" t="str">
        <f aca="false">IF(AND(ISNUMBER(D47),ISNUMBER(D46)),LN(D47/D46),"")</f>
        <v/>
      </c>
      <c r="I47" s="60" t="n">
        <f aca="false">IF(AND(ISNUMBER(E47),ISNUMBER(E46)),LN(E47/E46),"")</f>
        <v>0.0137068500960926</v>
      </c>
      <c r="J47" s="42" t="n">
        <f aca="false">IF(ISNUMBER(B47),B47/B$7*100,J46)</f>
        <v>94.5747501529676</v>
      </c>
      <c r="K47" s="42" t="n">
        <f aca="false">IF(ISNUMBER(C47),C47/C$7*100,K46)</f>
        <v>96.7302452316076</v>
      </c>
      <c r="L47" s="42" t="n">
        <f aca="false">IF(ISNUMBER(D47),D47/D$7*100,L46)</f>
        <v>96.6078007877017</v>
      </c>
      <c r="M47" s="42" t="n">
        <f aca="false">IF(ISNUMBER(E47),E47/E$7*100,M46)</f>
        <v>104.997229916898</v>
      </c>
    </row>
    <row r="48" customFormat="false" ht="15" hidden="false" customHeight="false" outlineLevel="0" collapsed="false">
      <c r="A48" s="66" t="n">
        <v>46308</v>
      </c>
      <c r="B48" s="25" t="n">
        <v>4682</v>
      </c>
      <c r="C48" s="25"/>
      <c r="D48" s="25"/>
      <c r="E48" s="25" t="n">
        <v>4710.5</v>
      </c>
      <c r="F48" s="60" t="n">
        <f aca="false">IF(AND(ISNUMBER(B48),ISNUMBER(B47)),LN(B48/B47),"")</f>
        <v>0.00965776365939524</v>
      </c>
      <c r="G48" s="60" t="str">
        <f aca="false">IF(AND(ISNUMBER(C48),ISNUMBER(C47)),LN(C48/C47),"")</f>
        <v/>
      </c>
      <c r="H48" s="60" t="str">
        <f aca="false">IF(AND(ISNUMBER(D48),ISNUMBER(D47)),LN(D48/D47),"")</f>
        <v/>
      </c>
      <c r="I48" s="60" t="n">
        <f aca="false">IF(AND(ISNUMBER(E48),ISNUMBER(E47)),LN(E48/E47),"")</f>
        <v>-0.00582104623000837</v>
      </c>
      <c r="J48" s="42" t="n">
        <f aca="false">IF(ISNUMBER(B48),B48/B$7*100,J47)</f>
        <v>95.4925555782174</v>
      </c>
      <c r="K48" s="42" t="n">
        <f aca="false">IF(ISNUMBER(C48),C48/C$7*100,K47)</f>
        <v>96.7302452316076</v>
      </c>
      <c r="L48" s="42" t="n">
        <f aca="false">IF(ISNUMBER(D48),D48/D$7*100,L47)</f>
        <v>96.6078007877017</v>
      </c>
      <c r="M48" s="42" t="n">
        <f aca="false">IF(ISNUMBER(E48),E48/E$7*100,M47)</f>
        <v>104.387811634349</v>
      </c>
    </row>
    <row r="49" customFormat="false" ht="15" hidden="false" customHeight="false" outlineLevel="0" collapsed="false">
      <c r="A49" s="66" t="n">
        <v>46309</v>
      </c>
      <c r="B49" s="25" t="n">
        <v>4700</v>
      </c>
      <c r="C49" s="25"/>
      <c r="D49" s="25"/>
      <c r="E49" s="25" t="n">
        <v>4829</v>
      </c>
      <c r="F49" s="60" t="n">
        <f aca="false">IF(AND(ISNUMBER(B49),ISNUMBER(B48)),LN(B49/B48),"")</f>
        <v>0.00383713964729394</v>
      </c>
      <c r="G49" s="60" t="str">
        <f aca="false">IF(AND(ISNUMBER(C49),ISNUMBER(C48)),LN(C49/C48),"")</f>
        <v/>
      </c>
      <c r="H49" s="60" t="str">
        <f aca="false">IF(AND(ISNUMBER(D49),ISNUMBER(D48)),LN(D49/D48),"")</f>
        <v/>
      </c>
      <c r="I49" s="60" t="n">
        <f aca="false">IF(AND(ISNUMBER(E49),ISNUMBER(E48)),LN(E49/E48),"")</f>
        <v>0.0248453473848194</v>
      </c>
      <c r="J49" s="42" t="n">
        <f aca="false">IF(ISNUMBER(B49),B49/B$7*100,J48)</f>
        <v>95.8596777483174</v>
      </c>
      <c r="K49" s="42" t="n">
        <f aca="false">IF(ISNUMBER(C49),C49/C$7*100,K48)</f>
        <v>96.7302452316076</v>
      </c>
      <c r="L49" s="42" t="n">
        <f aca="false">IF(ISNUMBER(D49),D49/D$7*100,L48)</f>
        <v>96.6078007877017</v>
      </c>
      <c r="M49" s="42" t="n">
        <f aca="false">IF(ISNUMBER(E49),E49/E$7*100,M48)</f>
        <v>107.013850415512</v>
      </c>
    </row>
    <row r="50" customFormat="false" ht="15" hidden="false" customHeight="false" outlineLevel="0" collapsed="false">
      <c r="A50" s="66" t="n">
        <v>46310</v>
      </c>
      <c r="B50" s="25" t="n">
        <v>4666</v>
      </c>
      <c r="C50" s="25"/>
      <c r="D50" s="25"/>
      <c r="E50" s="25"/>
      <c r="F50" s="60" t="n">
        <f aca="false">IF(AND(ISNUMBER(B50),ISNUMBER(B49)),LN(B50/B49),"")</f>
        <v>-0.00726033511677468</v>
      </c>
      <c r="G50" s="60" t="str">
        <f aca="false">IF(AND(ISNUMBER(C50),ISNUMBER(C49)),LN(C50/C49),"")</f>
        <v/>
      </c>
      <c r="H50" s="60" t="str">
        <f aca="false">IF(AND(ISNUMBER(D50),ISNUMBER(D49)),LN(D50/D49),"")</f>
        <v/>
      </c>
      <c r="I50" s="60" t="str">
        <f aca="false">IF(AND(ISNUMBER(E50),ISNUMBER(E49)),LN(E50/E49),"")</f>
        <v/>
      </c>
      <c r="J50" s="42" t="n">
        <f aca="false">IF(ISNUMBER(B50),B50/B$7*100,J49)</f>
        <v>95.1662247603508</v>
      </c>
      <c r="K50" s="42" t="n">
        <f aca="false">IF(ISNUMBER(C50),C50/C$7*100,K49)</f>
        <v>96.7302452316076</v>
      </c>
      <c r="L50" s="42" t="n">
        <f aca="false">IF(ISNUMBER(D50),D50/D$7*100,L49)</f>
        <v>96.6078007877017</v>
      </c>
      <c r="M50" s="42" t="n">
        <f aca="false">IF(ISNUMBER(E50),E50/E$7*100,M49)</f>
        <v>107.013850415512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685</v>
      </c>
    </row>
    <row r="2" customFormat="false" ht="15" hidden="false" customHeight="false" outlineLevel="0" collapsed="false">
      <c r="A2" s="2" t="s">
        <v>686</v>
      </c>
    </row>
    <row r="4" customFormat="false" ht="24" hidden="false" customHeight="true" outlineLevel="0" collapsed="false">
      <c r="A4" s="11" t="s">
        <v>687</v>
      </c>
      <c r="B4" s="11" t="s">
        <v>688</v>
      </c>
      <c r="C4" s="11" t="s">
        <v>689</v>
      </c>
    </row>
    <row r="5" customFormat="false" ht="57.75" hidden="false" customHeight="true" outlineLevel="0" collapsed="false">
      <c r="A5" s="12" t="s">
        <v>690</v>
      </c>
      <c r="B5" s="12" t="s">
        <v>691</v>
      </c>
      <c r="C5" s="12" t="s">
        <v>692</v>
      </c>
    </row>
    <row r="6" customFormat="false" ht="57.75" hidden="false" customHeight="true" outlineLevel="0" collapsed="false">
      <c r="A6" s="12" t="s">
        <v>693</v>
      </c>
      <c r="B6" s="12" t="s">
        <v>694</v>
      </c>
      <c r="C6" s="12" t="s">
        <v>695</v>
      </c>
    </row>
    <row r="7" customFormat="false" ht="57.75" hidden="false" customHeight="true" outlineLevel="0" collapsed="false">
      <c r="A7" s="12" t="s">
        <v>696</v>
      </c>
      <c r="B7" s="12" t="s">
        <v>697</v>
      </c>
      <c r="C7" s="12" t="s">
        <v>698</v>
      </c>
    </row>
    <row r="8" customFormat="false" ht="57.75" hidden="false" customHeight="true" outlineLevel="0" collapsed="false">
      <c r="A8" s="12" t="s">
        <v>699</v>
      </c>
      <c r="B8" s="12" t="s">
        <v>700</v>
      </c>
      <c r="C8" s="12" t="s">
        <v>701</v>
      </c>
    </row>
    <row r="9" customFormat="false" ht="57.75" hidden="false" customHeight="true" outlineLevel="0" collapsed="false">
      <c r="A9" s="12" t="s">
        <v>702</v>
      </c>
      <c r="B9" s="12" t="s">
        <v>703</v>
      </c>
      <c r="C9" s="12" t="s">
        <v>704</v>
      </c>
    </row>
    <row r="10" customFormat="false" ht="57.75" hidden="false" customHeight="true" outlineLevel="0" collapsed="false">
      <c r="A10" s="12" t="s">
        <v>705</v>
      </c>
      <c r="B10" s="12" t="s">
        <v>706</v>
      </c>
      <c r="C10" s="12" t="s">
        <v>707</v>
      </c>
    </row>
    <row r="11" customFormat="false" ht="57.75" hidden="false" customHeight="true" outlineLevel="0" collapsed="false">
      <c r="A11" s="12" t="s">
        <v>708</v>
      </c>
      <c r="B11" s="12" t="s">
        <v>709</v>
      </c>
      <c r="C11" s="12" t="s">
        <v>710</v>
      </c>
    </row>
    <row r="12" customFormat="false" ht="57.75" hidden="false" customHeight="true" outlineLevel="0" collapsed="false">
      <c r="A12" s="12" t="s">
        <v>711</v>
      </c>
      <c r="B12" s="12" t="s">
        <v>712</v>
      </c>
      <c r="C12" s="12" t="s">
        <v>713</v>
      </c>
    </row>
    <row r="14" customFormat="false" ht="15" hidden="false" customHeight="false" outlineLevel="0" collapsed="false">
      <c r="A14" s="3" t="s">
        <v>714</v>
      </c>
      <c r="B14" s="4"/>
      <c r="C14" s="4"/>
    </row>
    <row r="15" customFormat="false" ht="15" hidden="false" customHeight="false" outlineLevel="0" collapsed="false">
      <c r="A15" s="72" t="s">
        <v>715</v>
      </c>
    </row>
    <row r="16" customFormat="false" ht="15" hidden="false" customHeight="false" outlineLevel="0" collapsed="false">
      <c r="A16" s="2" t="s">
        <v>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2026-10-22T15:13:22Z</dcterms:created>
  <dc:creator>openpyxl</dc:creator>
  <dc:description/>
  <dc:language>en-US</dc:language>
  <cp:lastModifiedBy/>
  <dcterms:modified xsi:type="dcterms:W3CDTF">2026-10-22T15:13:24Z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